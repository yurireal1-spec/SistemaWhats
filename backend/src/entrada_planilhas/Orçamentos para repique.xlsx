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2025" sheetId="1" r:id="rId5"/>
    <sheet state="visible" name="022025" sheetId="2" r:id="rId6"/>
    <sheet state="visible" name="032025" sheetId="3" r:id="rId7"/>
    <sheet state="visible" name="042025" sheetId="4" r:id="rId8"/>
    <sheet state="visible" name="052025" sheetId="5" r:id="rId9"/>
    <sheet state="visible" name="062025" sheetId="6" r:id="rId10"/>
    <sheet state="visible" name="072025" sheetId="7" r:id="rId11"/>
    <sheet state="visible" name="Página4" sheetId="8" r:id="rId12"/>
  </sheets>
  <definedNames>
    <definedName hidden="1" localSheetId="0" name="_xlnm._FilterDatabase">'012025'!$A$1:$AB$997</definedName>
    <definedName hidden="1" localSheetId="4" name="_xlnm._FilterDatabase">'052025'!$A$1:$AH$72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tc={0bf30285-0489-4021-9e5f-c524223a76d4}</author>
    <author>tc={6d6d89b2-0c10-45e0-969c-344e6c96125b}</author>
  </authors>
  <commentList>
    <comment authorId="0" xr:uid="{0bf30285-0489-4021-9e5f-c524223a76d4}" ref="A49">
      <text>
        <t xml:space="preserve">[Threaded comment]
 Your version of Excel allows you to read this threaded comment; however, any edits to it will get removed if the file is opened in a newer version of Excel. Learn more: https://go.microsoft.com/fwlink/?linkid=870924
Comment:
	Houve contato do disparo do repique dia 31/07/25 ficou combinado de ele dar uma respsota 
Valor oferecido: 
Entrada:R$300,00 
Parcelas:R$190,00
</t>
      </text>
    </comment>
    <comment authorId="1" xr:uid="{6d6d89b2-0c10-45e0-969c-344e6c96125b}" ref="A37">
      <text>
        <t xml:space="preserve">[Threaded comment]
 Your version of Excel allows you to read this threaded comment; however, any edits to it will get removed if the file is opened in a newer version of Excel. Learn more: https://go.microsoft.com/fwlink/?linkid=870924
Comment:
	Paciente demontrou interesse no em fazer o tratamento em Setembro para ppagamento avista com 13°. Yuri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4">
      <text>
        <t xml:space="preserve">Agendou avaliação dia 07/08 as 17h30</t>
      </text>
    </comment>
  </commentList>
</comments>
</file>

<file path=xl/sharedStrings.xml><?xml version="1.0" encoding="utf-8"?>
<sst xmlns="http://schemas.openxmlformats.org/spreadsheetml/2006/main" count="6889" uniqueCount="1244">
  <si>
    <t>orçamento</t>
  </si>
  <si>
    <t>cliente</t>
  </si>
  <si>
    <t>telefone</t>
  </si>
  <si>
    <t>dentista</t>
  </si>
  <si>
    <t>valor bruto</t>
  </si>
  <si>
    <t>desconto</t>
  </si>
  <si>
    <t>valor final</t>
  </si>
  <si>
    <t>Tratamento_1</t>
  </si>
  <si>
    <t>Dentes/Arcada_1</t>
  </si>
  <si>
    <t>Quantidade_1</t>
  </si>
  <si>
    <t>Tratamento_2</t>
  </si>
  <si>
    <t>Dentes/Arcada_2</t>
  </si>
  <si>
    <t>Quantidade_2</t>
  </si>
  <si>
    <t>Tratamento_3</t>
  </si>
  <si>
    <t>Dentes/Arcada_3</t>
  </si>
  <si>
    <t>Quantidade_3</t>
  </si>
  <si>
    <t>Tratamento_4</t>
  </si>
  <si>
    <t>Dentes/Arcada_4</t>
  </si>
  <si>
    <t>Quantidade_4</t>
  </si>
  <si>
    <t>Tratamento_5</t>
  </si>
  <si>
    <t>Dentes/Arcada_5</t>
  </si>
  <si>
    <t>Quantidade_5</t>
  </si>
  <si>
    <t>Tratamento_6</t>
  </si>
  <si>
    <t>Dentes/Arcada_6</t>
  </si>
  <si>
    <t>Quantidade_6</t>
  </si>
  <si>
    <t>Tratamento_7</t>
  </si>
  <si>
    <t>Dentes/Arcada_7</t>
  </si>
  <si>
    <t>Quantidade_7</t>
  </si>
  <si>
    <t>Aldo Correa Do Santos</t>
  </si>
  <si>
    <t>Gustavo Henrique De Souza Pereira</t>
  </si>
  <si>
    <t>CLAREAMENTO EXTERNO A LASER - DUAS ARCADAS - 3 SESSÕES</t>
  </si>
  <si>
    <t>Boca toda</t>
  </si>
  <si>
    <t>1</t>
  </si>
  <si>
    <t>COROA SOBRE IMPLANTE NACIONAL - POR ELEMENTO</t>
  </si>
  <si>
    <t>Dente 14</t>
  </si>
  <si>
    <t>IMPLANTE DE TITÂNIO 1 PINO NACIONAL (SOMENTE PINO)</t>
  </si>
  <si>
    <t>PROFILAXIA</t>
  </si>
  <si>
    <t>RESTAURAÇÃO EM RESINA</t>
  </si>
  <si>
    <t>Dente 26</t>
  </si>
  <si>
    <t>Theo Araujo Braga</t>
  </si>
  <si>
    <t>Joao Paulo Peria De Sene</t>
  </si>
  <si>
    <t>TRATAMENTO ORTODÔNTICO</t>
  </si>
  <si>
    <t>Alci Da Silva Moura Raboca</t>
  </si>
  <si>
    <t>APARELHO MÓVEL - CONTENÇÃO</t>
  </si>
  <si>
    <t>Arcada superior</t>
  </si>
  <si>
    <t>Dente 16, Dente 17, Dente 26, Dente 27, Dente 36, Dente 37, Dente 46, Dente 47</t>
  </si>
  <si>
    <t>8</t>
  </si>
  <si>
    <t>ENXERTO ALÓGENO 01 BLOCO DE OSSO</t>
  </si>
  <si>
    <t>PPR FLEX DEFINTIVA DENTE NACIONAL (UNIDADE)</t>
  </si>
  <si>
    <t>PRÓTESE TOTAL IMEDIATA (PROVISÓRIA)</t>
  </si>
  <si>
    <t>Arcada inferior</t>
  </si>
  <si>
    <t>Gustavo Henrique Martins Rezende</t>
  </si>
  <si>
    <t>Lilian D'amico De Campos</t>
  </si>
  <si>
    <t>Gabriella Marinho Buriti</t>
  </si>
  <si>
    <t>EXODONTIA DECÍDUO</t>
  </si>
  <si>
    <t>Decíduo 55, Decíduo 65</t>
  </si>
  <si>
    <t>2</t>
  </si>
  <si>
    <t>Gisele</t>
  </si>
  <si>
    <t>Maria Beatriz Bortoletto</t>
  </si>
  <si>
    <t>EXODONTIA 3º ERUPCIONADO (SISO)</t>
  </si>
  <si>
    <t>Dente 18, Dente 38, Dente 48</t>
  </si>
  <si>
    <t>3</t>
  </si>
  <si>
    <t>EXODONTIA SIMPLES - NORMO IMPLANTADO</t>
  </si>
  <si>
    <t>Dente 37</t>
  </si>
  <si>
    <t>Dente 11, Dente 14, Dente 21</t>
  </si>
  <si>
    <t>Jeferson Leandro Pereira</t>
  </si>
  <si>
    <t>CLAREAMENTO EXTERNO CASEIRO - GEL E PLACA</t>
  </si>
  <si>
    <t>Laiza Gabriely Alves Rodrigues</t>
  </si>
  <si>
    <t>Daniel De Oliveira Marques</t>
  </si>
  <si>
    <t>Dente 36, Dente 37, Dente 46, Dente 47</t>
  </si>
  <si>
    <t>4</t>
  </si>
  <si>
    <t>Amanda Cristina Lino</t>
  </si>
  <si>
    <t>Dente 16, Dente 26, Dente 36, Dente 46</t>
  </si>
  <si>
    <t>ENXERTO ÓSSEO LIOFILIZADO</t>
  </si>
  <si>
    <t>Dente 36</t>
  </si>
  <si>
    <t>Eneida Aparecida Oliveira Rolin</t>
  </si>
  <si>
    <t>Rosangela Da Silva Reis</t>
  </si>
  <si>
    <t>Dente 45, Dente 46, Dente 47</t>
  </si>
  <si>
    <t>PROTOCOLO EM PORCELANA (PINOS NÃO INCLUSOS)</t>
  </si>
  <si>
    <t>Cristiane Da Silva Araujo</t>
  </si>
  <si>
    <t>Elias Mendes De Aguiar Pereira</t>
  </si>
  <si>
    <t>Andressa Novaes Quevedo</t>
  </si>
  <si>
    <t>APLICAÇÃO DE FLÚOR</t>
  </si>
  <si>
    <t>COROA DE PORCELANA</t>
  </si>
  <si>
    <t>Dente 35</t>
  </si>
  <si>
    <t>NÚCLEO/PINO FIBRA DE VIDRO</t>
  </si>
  <si>
    <t>Pedro Henrique Monteiro Araujo</t>
  </si>
  <si>
    <t>12 SESSÕES DE PROFILAXIA</t>
  </si>
  <si>
    <t>Ruth Elena Da Costa</t>
  </si>
  <si>
    <t>Samara Cristina Teodoro De Mello E Souza</t>
  </si>
  <si>
    <t>Dente 14, Dente 15, Dente 16</t>
  </si>
  <si>
    <t>EXODONTIA RAIZ RESIDUAL</t>
  </si>
  <si>
    <t>Dente 16</t>
  </si>
  <si>
    <t>Dente 14, Dente 16</t>
  </si>
  <si>
    <t>Janete Soares Da Silva</t>
  </si>
  <si>
    <t>PLACA DE MORDIDA - BRUXISMO</t>
  </si>
  <si>
    <t>Marcel Pedroza Gomes</t>
  </si>
  <si>
    <t>CONTENÇÃO INVISALIGN VIVERA 1 ARCO</t>
  </si>
  <si>
    <t>Dente 15, Dente 16</t>
  </si>
  <si>
    <t>TRATAMENTO ALINHADOR INVISÍVEL INVISALIGN LITE (ARCO ÚNICO)</t>
  </si>
  <si>
    <t>Matheus Teixeira De Almeida Trindade</t>
  </si>
  <si>
    <t>Ana Laura Bortoletto</t>
  </si>
  <si>
    <t>Adriano Nunes Trindade</t>
  </si>
  <si>
    <t>Dente 36, Dente 47</t>
  </si>
  <si>
    <t>Dente 47</t>
  </si>
  <si>
    <t>Nicollas Henrique Ferreira Cardoso</t>
  </si>
  <si>
    <t>Dente 36, Dente 46</t>
  </si>
  <si>
    <t>Guilherme Sodré</t>
  </si>
  <si>
    <t>PERIODONTIA SESSÃO AVULSA</t>
  </si>
  <si>
    <t>RESTAURAÇÃO ESTÉTICA</t>
  </si>
  <si>
    <t>Dente 12, Dente 21</t>
  </si>
  <si>
    <t>Camila De Souza Ferreira De Arruda</t>
  </si>
  <si>
    <t>Dente 21, Dente 34, Dente 44</t>
  </si>
  <si>
    <t>Rosiclecia De Carvalho Silva</t>
  </si>
  <si>
    <t>Eduardo Luis Colone</t>
  </si>
  <si>
    <t>Dente 13</t>
  </si>
  <si>
    <t>FACETA EM RESINA DIRETA</t>
  </si>
  <si>
    <t>Dente 31, Dente 32, Dente 41</t>
  </si>
  <si>
    <t>RETRATAMENTO ENDO UNI RADICULAR</t>
  </si>
  <si>
    <t>Luane Karoline De Freitas</t>
  </si>
  <si>
    <t>Antonio Fernandes Ribeiro</t>
  </si>
  <si>
    <t>Dente 11, Dente 12, Dente 22</t>
  </si>
  <si>
    <t>Dente 13, Dente 21, Dente 23</t>
  </si>
  <si>
    <t>PPR PROVISÓRIA</t>
  </si>
  <si>
    <t>Dente 31</t>
  </si>
  <si>
    <t>Patrícia Silva Dos Santos</t>
  </si>
  <si>
    <t>Dente 38</t>
  </si>
  <si>
    <t>Dente 17, Dente 34</t>
  </si>
  <si>
    <t>TRATAMENTO AUTOLIGÁVEL</t>
  </si>
  <si>
    <t>Jackson Monteiro</t>
  </si>
  <si>
    <t>COROA MÉTALO-CERÂMICA</t>
  </si>
  <si>
    <t>Dente 46</t>
  </si>
  <si>
    <t>ENDO TRI RADICULAR</t>
  </si>
  <si>
    <t>NÚCLEO/PINO METÁLICO FUNDIDO</t>
  </si>
  <si>
    <t>Arthur Oliveira De Camargo</t>
  </si>
  <si>
    <t>Arcada superior, Arcada inferior</t>
  </si>
  <si>
    <t>Decíduo 74, Decíduo 84</t>
  </si>
  <si>
    <t>Vania Domingues Da Cruz</t>
  </si>
  <si>
    <t>CONFECÇÃO PROVISÓRIO</t>
  </si>
  <si>
    <t>Dente 15</t>
  </si>
  <si>
    <t>Dente 25</t>
  </si>
  <si>
    <t>Dente 26, Dente 27, Dente 47</t>
  </si>
  <si>
    <t>Eliene Geraldo Da Silva</t>
  </si>
  <si>
    <t>PPR GRAMPO CONVENCIONAL DEFINTIVA DENTE NACIONAL (UNIDADE)</t>
  </si>
  <si>
    <t>Maria Elena Carvalho De Camargo</t>
  </si>
  <si>
    <t>Dente 16, Dente 46</t>
  </si>
  <si>
    <t>Richard Anderson Monteiro</t>
  </si>
  <si>
    <t>Dente 11, Dente 22</t>
  </si>
  <si>
    <t>Dente 16, Dente 17, Dente 37</t>
  </si>
  <si>
    <t>Nivaldo Pi</t>
  </si>
  <si>
    <t>CONSULTA DE PLANEJAMENTO</t>
  </si>
  <si>
    <t>RADIOGRAFIA PANORÂMICA C/LAUDO</t>
  </si>
  <si>
    <t>Jersia Da Silva</t>
  </si>
  <si>
    <t>Matheus Alves De Oliveira.</t>
  </si>
  <si>
    <t>Rubens Marques De Oliveira Junior</t>
  </si>
  <si>
    <t>Lorena Vigari Pinho</t>
  </si>
  <si>
    <t>Vitoria Ribeiro Miranda</t>
  </si>
  <si>
    <t>Beatriz Batista Lario</t>
  </si>
  <si>
    <t>Edinalva</t>
  </si>
  <si>
    <t>CLAREAMENTO EXTERNO A LASER - DUAS ARCADAS - SESSÃO AVULSA</t>
  </si>
  <si>
    <t>Dente 13, Dente 14, Dente 15</t>
  </si>
  <si>
    <t>Evelin Cristina Ayres</t>
  </si>
  <si>
    <t>Douglas Antonio Nogueira Júnior</t>
  </si>
  <si>
    <t>Dente 28, Dente 38</t>
  </si>
  <si>
    <t>Jose Carlos Bressan Junior</t>
  </si>
  <si>
    <t>PRÓTESE TOTAL CONVENCIONAL DENTE NACIONAL (UNIDADE)</t>
  </si>
  <si>
    <t>Vanda Da Costa Constante</t>
  </si>
  <si>
    <t>Mariele Oliveira Dos Santos Silva</t>
  </si>
  <si>
    <t>REMOÇÃO DE APARELHO ORTODÔNTICO</t>
  </si>
  <si>
    <t>Dente 17, Dente 24, Dente 26, Dente 27, Dente 36</t>
  </si>
  <si>
    <t>5</t>
  </si>
  <si>
    <t>RETRATAMENTO ENDO BI RADICULAR</t>
  </si>
  <si>
    <t>Brenda Caroline Barbosa Holanda</t>
  </si>
  <si>
    <t>Romulo Borges Barbieri</t>
  </si>
  <si>
    <t>EXODONTIA 3º INCLUSO (SISO)</t>
  </si>
  <si>
    <t>Elton Luiz Gomes</t>
  </si>
  <si>
    <t>Dente 37, Dente 47</t>
  </si>
  <si>
    <t>Wellington Felipe De Freitas Estevam</t>
  </si>
  <si>
    <t>Dente 26, Dente 36</t>
  </si>
  <si>
    <t>Dente 26, Dente 35, Dente 36</t>
  </si>
  <si>
    <t>Janaina Bezerra De Oliveira</t>
  </si>
  <si>
    <t>Dente 27, Dente 36</t>
  </si>
  <si>
    <t>Aline Rodrigues Dos Santos</t>
  </si>
  <si>
    <t>Maria Vitoria</t>
  </si>
  <si>
    <t>Maurício Nascimento Salzano</t>
  </si>
  <si>
    <t>Dente 11, Dente 12, Dente 13, Dente 21, Dente 22, Dente 23</t>
  </si>
  <si>
    <t>6</t>
  </si>
  <si>
    <t>Marilda Aparecida Correa</t>
  </si>
  <si>
    <t>Rosangela Scomparim</t>
  </si>
  <si>
    <t>Bruna Caroline</t>
  </si>
  <si>
    <t>Dente 12, Dente 16, Dente 27</t>
  </si>
  <si>
    <t>Edilene Nagy Mendes</t>
  </si>
  <si>
    <t>Leila Cristina De Oliveira</t>
  </si>
  <si>
    <t>Thomas Felipe De Oliveira</t>
  </si>
  <si>
    <t>Dente 31, Dente 32, Dente 41, Dente 42</t>
  </si>
  <si>
    <t>IMPLANTE DE TITÂNIO 1 PINO IMPORTADO (SOMENTE PINO)</t>
  </si>
  <si>
    <t>Dente 11, Dente 12, Dente 13, Dente 21, Dente 22, Dente 23, Dente 36</t>
  </si>
  <si>
    <t>7</t>
  </si>
  <si>
    <t>Samanta Glayde De Sousa Hilário Teofilo</t>
  </si>
  <si>
    <t>Dente 21</t>
  </si>
  <si>
    <t>Adriano Honório Da Silva</t>
  </si>
  <si>
    <t>Dente 13, Dente 21, Dente 22</t>
  </si>
  <si>
    <t>Ivan Ricardo Da Silva</t>
  </si>
  <si>
    <t>ENDO UNI RADICULAR</t>
  </si>
  <si>
    <t>Dente 12</t>
  </si>
  <si>
    <t>Raira Cristina Bertholino</t>
  </si>
  <si>
    <t>PERIO BÁSICA ATÉ 4 SESSÕES</t>
  </si>
  <si>
    <t>Pedro Amaral De Paula</t>
  </si>
  <si>
    <t>Lucas Tessari</t>
  </si>
  <si>
    <t>Juliana Tessari</t>
  </si>
  <si>
    <t>Lucila Vicente Barbosa</t>
  </si>
  <si>
    <t>Felipe Cardoso Gomes</t>
  </si>
  <si>
    <t>ENDO BI RADICULAR</t>
  </si>
  <si>
    <t>Jaqueline Rosemeire Vitor De Campos</t>
  </si>
  <si>
    <t>Antonia Carmen Lopes</t>
  </si>
  <si>
    <t>Dente 46, Dente 47</t>
  </si>
  <si>
    <t>Dente 11, Dente 13, Dente 21</t>
  </si>
  <si>
    <t>Elisete Santos Da Silva</t>
  </si>
  <si>
    <t>PROFILAXIA DE PROTOCOLO</t>
  </si>
  <si>
    <t>Jonathan Fusinato</t>
  </si>
  <si>
    <t>Ariane Dos Santos Martins</t>
  </si>
  <si>
    <t>Dente 41</t>
  </si>
  <si>
    <t>PROVISÓRIO (LABORATÓRIO)</t>
  </si>
  <si>
    <t>Dente 16, Dente 41</t>
  </si>
  <si>
    <t>Guilherme Santos</t>
  </si>
  <si>
    <t>Dente 11</t>
  </si>
  <si>
    <t>Raira Amaral</t>
  </si>
  <si>
    <t>Dente 13, Dente 14, Dente 16, Dente 24, Dente 25, Dente 26, Dente 27, Dente 33, Dente 34, Dente 35, Dente 36, Dente 42, Dente 44, Dente 45</t>
  </si>
  <si>
    <t>14</t>
  </si>
  <si>
    <t>Pedro Presotto</t>
  </si>
  <si>
    <t>Giliard Oliveira Borges</t>
  </si>
  <si>
    <t>Juliana De Deus Borges</t>
  </si>
  <si>
    <t>Dente 17, Dente 26, Dente 27, Dente 46, Dente 47</t>
  </si>
  <si>
    <t>Pedro Antonio Feresin Costa</t>
  </si>
  <si>
    <t>Dente 23</t>
  </si>
  <si>
    <t>Mayara Taine Dos Santos</t>
  </si>
  <si>
    <t>Dente 24, Dente 27, Dente 37, Dente 44, Dente 47</t>
  </si>
  <si>
    <t>Maria De Fatima</t>
  </si>
  <si>
    <t>VALOR TOTAL:</t>
  </si>
  <si>
    <t>REPIQUE</t>
  </si>
  <si>
    <t>Coluna 1</t>
  </si>
  <si>
    <t>Walter Ramos Junior</t>
  </si>
  <si>
    <t>Jessica Fernanda Ribeiro Mota</t>
  </si>
  <si>
    <t>Dente 11, Dente 18, Dente 23, Dente 28, Dente 35</t>
  </si>
  <si>
    <t>Herta Teuber</t>
  </si>
  <si>
    <t>Dente 13, Dente 17, Dente 18, Dente 37, Dente 38, Dente 48</t>
  </si>
  <si>
    <t>Diego Adonis Da Silva Massucatto</t>
  </si>
  <si>
    <t>Jenifer Pereira Da Silva Souza</t>
  </si>
  <si>
    <t>Kaique De Melo Moura Maranhão</t>
  </si>
  <si>
    <t>Jaycela Rodrigues Matins</t>
  </si>
  <si>
    <t>Regina Da Silva Dos Passos</t>
  </si>
  <si>
    <t>Caio Augusto Pereira</t>
  </si>
  <si>
    <t>FACETA EM PORCELANA</t>
  </si>
  <si>
    <t>Dente 11, Dente 12, Dente 14, Dente 15, Dente 21, Dente 22, Dente 23, Dente 24, Dente 25</t>
  </si>
  <si>
    <t>9</t>
  </si>
  <si>
    <t>COROA EM CERÂMICA PURA E-MAX</t>
  </si>
  <si>
    <t>Claudia Cristiane Silvaira Lima</t>
  </si>
  <si>
    <t>Dente 14, Dente 34</t>
  </si>
  <si>
    <t>Camila Santos Da Silva Lima</t>
  </si>
  <si>
    <t>Dente 16, Dente 26</t>
  </si>
  <si>
    <t>Vitor Gabriel Ferreira De Souza</t>
  </si>
  <si>
    <t>Carlos Alberto Batista</t>
  </si>
  <si>
    <t>Dente 17</t>
  </si>
  <si>
    <t>Helena Cristina De Souza Oliveira</t>
  </si>
  <si>
    <t>Santiago Silveira</t>
  </si>
  <si>
    <t>Maria Eduarda Araújo Barros</t>
  </si>
  <si>
    <t>Maria Da Conceição Lacerda Vieira</t>
  </si>
  <si>
    <t>Rafaela Pereira Da Silva</t>
  </si>
  <si>
    <t>Mariana Simon De Almeida</t>
  </si>
  <si>
    <t>LENTE DE CONTATO</t>
  </si>
  <si>
    <t>Dente 11, Dente 12, Dente 13, Dente 14, Dente 15, Dente 21, Dente 22, Dente 23, Dente 24, Dente 25</t>
  </si>
  <si>
    <t>10</t>
  </si>
  <si>
    <t>Dente 16, Dente 17, Dente 37, Dente 47</t>
  </si>
  <si>
    <t>Alex Silva Dos Santos</t>
  </si>
  <si>
    <t>Maria Fernanda Almeida Da Silva</t>
  </si>
  <si>
    <t>Helton Eduardo Santos</t>
  </si>
  <si>
    <t>Dente 11, Dente 12, Dente 13, Dente 21, Dente 22, Dente 23, Dente 31, Dente 32, Dente 41, Dente 42</t>
  </si>
  <si>
    <t>PRÓTESE PROTOCOLO (PINOS NÃO INCLUSOS)</t>
  </si>
  <si>
    <t>Dente 11, Dente 21, Dente 23, Dente 25, Dente 44, Dente 45</t>
  </si>
  <si>
    <t>Dente 31, Dente 32, Dente 33, Dente 41, Dente 42, Dente 43</t>
  </si>
  <si>
    <t>Helena Pereira Rodrigues</t>
  </si>
  <si>
    <t>Decíduo 84</t>
  </si>
  <si>
    <t>Heloisa Pereira Rodrigues Paes</t>
  </si>
  <si>
    <t>Decíduo 51, Decíduo 61, Decíduo 62</t>
  </si>
  <si>
    <t>Diego Gomes Soares</t>
  </si>
  <si>
    <t>Dente 13, Dente 23</t>
  </si>
  <si>
    <t>Luana Ribeiro Lisardo</t>
  </si>
  <si>
    <t>Célia Queiroz</t>
  </si>
  <si>
    <t>Dente 11, Dente 15, Dente 16, Dente 17, Dente 24, Dente 25, Dente 26</t>
  </si>
  <si>
    <t>Dente 12, Dente 14, Dente 17, Dente 22, Dente 24, Dente 27</t>
  </si>
  <si>
    <t>Marcia Aparecida Ikedo</t>
  </si>
  <si>
    <t>Dente 22</t>
  </si>
  <si>
    <t>Paulo Sérgio Scarpin</t>
  </si>
  <si>
    <t>Luclecia Dos Santos Silva</t>
  </si>
  <si>
    <t>Dente 15, Dente 27</t>
  </si>
  <si>
    <t>Charles Nery De Carvalho</t>
  </si>
  <si>
    <t>Daniele Falcão Soares Feltrin</t>
  </si>
  <si>
    <t>Claudiane De Carvalho Melo</t>
  </si>
  <si>
    <t>Dente 18, Dente 28</t>
  </si>
  <si>
    <t>Dente 24, Dente 36</t>
  </si>
  <si>
    <t>Eduarda Regina Silva Simoes</t>
  </si>
  <si>
    <t>TRATAMENTO ALINHADOR INVISÍVEL INVISALIGN MODERATE (ARCO ÚNICO)</t>
  </si>
  <si>
    <t>Dantara Stephanie Ribeiro</t>
  </si>
  <si>
    <t>Adalberto Angelo Pinheiro</t>
  </si>
  <si>
    <t>Nicole Leal Diver</t>
  </si>
  <si>
    <t>Samara Teobaldo De Oliveira</t>
  </si>
  <si>
    <t>Thifany Lopes Dos Anjos</t>
  </si>
  <si>
    <t>Dente 18, Dente 28, Dente 38, Dente 48</t>
  </si>
  <si>
    <t>Dente 15, Dente 21, Dente 36</t>
  </si>
  <si>
    <t>Ivertson Matheus Paes Dos Santos</t>
  </si>
  <si>
    <t>Daiane Aparecida Bernardes</t>
  </si>
  <si>
    <t>Maria Pereira De Jesus</t>
  </si>
  <si>
    <t>Leticia Rodrigues Oliveira De Azevedo</t>
  </si>
  <si>
    <t>Dente 18</t>
  </si>
  <si>
    <t>Thaynan Augusto Dos Santos</t>
  </si>
  <si>
    <t>Dente 26, Dente 36, Dente 37, Dente 46, Dente 47</t>
  </si>
  <si>
    <t>Eliana Francisca De Moraes Ferreira</t>
  </si>
  <si>
    <t>Kaylanne Duarte Nobre</t>
  </si>
  <si>
    <t>Elaine Aparecida Da Silva</t>
  </si>
  <si>
    <t>Dente 15, Dente 24</t>
  </si>
  <si>
    <t>Clenilda Pedroso Ribeiro</t>
  </si>
  <si>
    <t>Leovaldo Martins</t>
  </si>
  <si>
    <t>Dente 11, Dente 21, Dente 22, Dente 23, Dente 24, Dente 25, Dente 31, Dente 32, Dente 33, Dente 41</t>
  </si>
  <si>
    <t>Milene Creato Torres</t>
  </si>
  <si>
    <t>REMOÇÃO DE CONTENÇÃO ORTODÔNTICA</t>
  </si>
  <si>
    <t>Jhon Lennon Carvalho Da Silva</t>
  </si>
  <si>
    <t>David Willian De Andrade Cruz Oliveira</t>
  </si>
  <si>
    <t>Alexandre Coelho Moretzsohn</t>
  </si>
  <si>
    <t>Miclécia Mendonça Da Silva</t>
  </si>
  <si>
    <t>Emilia Carmo De Oliveira</t>
  </si>
  <si>
    <t>Dente 14, Dente 15, Dente 16, Dente 36</t>
  </si>
  <si>
    <t>Dente 13, Dente 17, Dente 23, Dente 24, Dente 26, Dente 34, Dente 37, Dente 47</t>
  </si>
  <si>
    <t>Fabio Augusto Alves Veras</t>
  </si>
  <si>
    <t>Dente 12, Dente 13, Dente 14, Dente 15, Dente 17, Dente 21, Dente 23, Dente 33, Dente 46</t>
  </si>
  <si>
    <t>Daniele Roberta Da Cruz Costa</t>
  </si>
  <si>
    <t>Paulino Gomes Ribeiro</t>
  </si>
  <si>
    <t>Antonio Ovidio De Sousa</t>
  </si>
  <si>
    <t>Lorrane Martins Adachi</t>
  </si>
  <si>
    <t>Dente 24</t>
  </si>
  <si>
    <t>Valeria Rufino</t>
  </si>
  <si>
    <t>Tratamento_8</t>
  </si>
  <si>
    <t>Dentes/Arcada_8</t>
  </si>
  <si>
    <t>Quantidade_8</t>
  </si>
  <si>
    <t>Jerusa Cardoso Machado Gonçalves</t>
  </si>
  <si>
    <t>Angela Bizzio</t>
  </si>
  <si>
    <t>Luisa Leme Da Trindade</t>
  </si>
  <si>
    <t>Guilherme Leme Da Trindade</t>
  </si>
  <si>
    <t>Simone Alexandre Da Silva</t>
  </si>
  <si>
    <t>Pedro Henrique De Souza Da Silva</t>
  </si>
  <si>
    <t>Dente 15, Dente 16, Dente 26</t>
  </si>
  <si>
    <t>Rogerio De Oliveira</t>
  </si>
  <si>
    <t>Dente 14, Dente 15, Dente 16, Dente 17, Dente 34, Dente 35, Dente 44, Dente 45, Dente 46, Dente 47</t>
  </si>
  <si>
    <t>Conceição Aparecida Gonzaga</t>
  </si>
  <si>
    <t>Dente 27, Dente 34, Dente 37, Dente 38, Dente 44, Dente 45</t>
  </si>
  <si>
    <t>Alessandra Caroline Gil</t>
  </si>
  <si>
    <t>Dente 17, Dente 26, Dente 36, Dente 37, Dente 47</t>
  </si>
  <si>
    <t>Ailton Luiz Dos Santos</t>
  </si>
  <si>
    <t>Jose Antonio De Oliveira E Souza</t>
  </si>
  <si>
    <t>Dente 13, Dente 16, Dente 25, Dente 26, Dente 27</t>
  </si>
  <si>
    <t>Dan Perizzoto</t>
  </si>
  <si>
    <t>Elisa Martins</t>
  </si>
  <si>
    <t>IN LAY - ON LAY PORCELANA</t>
  </si>
  <si>
    <t>Maria Aparecida Santos Gomes</t>
  </si>
  <si>
    <t>Dente 26, Dente 28</t>
  </si>
  <si>
    <t>Heloisa</t>
  </si>
  <si>
    <t>Dente 16, Dente 26, Dente 36, Dente 46, Decíduo 55, Decíduo 64, Decíduo 65</t>
  </si>
  <si>
    <t>Marcos Felipe De Oliveira Costa</t>
  </si>
  <si>
    <t>CONTENÇÃO FIXA HIGIÊNICA INFERIOR</t>
  </si>
  <si>
    <t>Liberto Amendola</t>
  </si>
  <si>
    <t>Renato Rolim</t>
  </si>
  <si>
    <t>COROA DEFINITIVA RESINA</t>
  </si>
  <si>
    <t>Dente 21, Dente 22</t>
  </si>
  <si>
    <t>Dente 12, Dente 13, Dente 15, Dente 17, Dente 24</t>
  </si>
  <si>
    <t>Dente 32, Dente 35, Dente 37, Dente 46, Dente 47</t>
  </si>
  <si>
    <t>Adriana Ap. Schimidt Soares</t>
  </si>
  <si>
    <t>Wilson Roberto Da Silva</t>
  </si>
  <si>
    <t>Dente 36, Dente 37</t>
  </si>
  <si>
    <t>Magali Aparecida Brill Silva</t>
  </si>
  <si>
    <t>Dente 44, Dente 46</t>
  </si>
  <si>
    <t>Dente 13, Dente 27, Dente 44, Dente 45, Dente 46</t>
  </si>
  <si>
    <t>Maria Neusa Soares</t>
  </si>
  <si>
    <t>Nivaldo Martins Ferrira</t>
  </si>
  <si>
    <t>Jose Aparecido Algusto Do Amaral</t>
  </si>
  <si>
    <t>Rayssa Eduarda Santos De Farias</t>
  </si>
  <si>
    <t>Ana Paula Santos Maia</t>
  </si>
  <si>
    <t>Deise Aparecida Oliveira Souza</t>
  </si>
  <si>
    <t>Kaue Gabriel Coimbra</t>
  </si>
  <si>
    <t>Dente 11, Dente 13, Dente 16, Dente 17, Dente 21, Dente 24, Dente 25, Dente 35, Dente 37, Dente 47</t>
  </si>
  <si>
    <t>Celia Regina Branco</t>
  </si>
  <si>
    <t>Luiza Ferreira Dos Santos</t>
  </si>
  <si>
    <t>Dente 11, Dente 12, Dente 21, Dente 22, Dente 23, Dente 24, Dente 31, Dente 32, Dente 41, Dente 42</t>
  </si>
  <si>
    <t>Mariana Da Rocha Santana</t>
  </si>
  <si>
    <t>Dente 18, Dente 28, Dente 48</t>
  </si>
  <si>
    <t>Anderson De Lima Oliveira Matias</t>
  </si>
  <si>
    <t>Selma De Almeida M</t>
  </si>
  <si>
    <t>Dente 26, Dente 28, Dente 46</t>
  </si>
  <si>
    <t>Isaias Eraldo Vieira</t>
  </si>
  <si>
    <t>Dente 26, Dente 27</t>
  </si>
  <si>
    <t>Cristiana Aparecida Silva</t>
  </si>
  <si>
    <t>Dente 27, Dente 46</t>
  </si>
  <si>
    <t>Dente 11, Dente 12, Dente 13, Dente 14, Dente 21, Dente 22, Dente 23</t>
  </si>
  <si>
    <t>Ana Claudia</t>
  </si>
  <si>
    <t>Dente 17, Dente 27, Dente 47</t>
  </si>
  <si>
    <t>Edneia Lopes De Oliveira</t>
  </si>
  <si>
    <t>Dente 45</t>
  </si>
  <si>
    <t>Itamara Nunes</t>
  </si>
  <si>
    <t>Debora Regina Da Cruz</t>
  </si>
  <si>
    <t>SERINGA DE CLAREAMENTO EXTERNO AVULSA (01 UNID)</t>
  </si>
  <si>
    <t>Ángela Silva Gonsalves</t>
  </si>
  <si>
    <t>Dente 25, Dente 26</t>
  </si>
  <si>
    <t>ON LAY - IN LAY EM RESINA</t>
  </si>
  <si>
    <t>Edna Cristina Corrêa Da Silva</t>
  </si>
  <si>
    <t>Dente 14, Dente 44</t>
  </si>
  <si>
    <t>Gorge Luiz Da Silva</t>
  </si>
  <si>
    <t>Dente 16, Dente 17</t>
  </si>
  <si>
    <t>Dente 15, Dente 26</t>
  </si>
  <si>
    <t>Jasmim De Abreu Freitas</t>
  </si>
  <si>
    <t>Decíduo 75, Decíduo 85</t>
  </si>
  <si>
    <t>Val Teste</t>
  </si>
  <si>
    <t>Thomaz Brandão De Almeida</t>
  </si>
  <si>
    <t>Dente 31, Dente 32, Dente 33, Dente 34, Dente 35, Dente 36, Dente 37, Dente 41, Dente 42, Dente 43, Dente 44, Dente 45, Dente 46, Dente 47</t>
  </si>
  <si>
    <t>Morais Kazuo Mariano Sawaeda</t>
  </si>
  <si>
    <t>Anderson Santos Filho</t>
  </si>
  <si>
    <t>Dente 16, Dente 17, Dente 26, Dente 27, Dente 28, Dente 36, Dente 37, Dente 46, Dente 47</t>
  </si>
  <si>
    <t>Sergio Victor De Lima</t>
  </si>
  <si>
    <t>Dente 11, Dente 12</t>
  </si>
  <si>
    <t>Rosimeire Mendes Lima</t>
  </si>
  <si>
    <t>Dente 21, Dente 25</t>
  </si>
  <si>
    <t>Marilia Helena Isabel Santos</t>
  </si>
  <si>
    <t>Gabriel Fernando Antunes Martins</t>
  </si>
  <si>
    <t>Júlia Diamantino Nunes Santana</t>
  </si>
  <si>
    <t>Dente 27</t>
  </si>
  <si>
    <t>Suelen Cristina Rosa Miranda</t>
  </si>
  <si>
    <t>Rafael Dos Santos Vitorio</t>
  </si>
  <si>
    <t>Aginaldo De Lima</t>
  </si>
  <si>
    <t>Debora Cristina Bertholino</t>
  </si>
  <si>
    <t>Dente 12, Dente 22, Dente 23</t>
  </si>
  <si>
    <t>Paula Alexandra Rosa</t>
  </si>
  <si>
    <t>Dente 14, Dente 26, Dente 35, Dente 37, Dente 45, Dente 47</t>
  </si>
  <si>
    <t>Fabio De Jesus Alves</t>
  </si>
  <si>
    <t>Dente 48</t>
  </si>
  <si>
    <t>Dente 14, Dente 15, Dente 25, Dente 34, Dente 35, Dente 44, Dente 45, Dente 47</t>
  </si>
  <si>
    <t>Daiana Maria</t>
  </si>
  <si>
    <t>Dente 17, Dente 26, Dente 27, Dente 37</t>
  </si>
  <si>
    <t>Rosalva</t>
  </si>
  <si>
    <t>OVERDENTURE (PROT MOVEL ÚNICA COM 14 DENTES) NACIONAL (PINOS NÃO INCLUSOS)</t>
  </si>
  <si>
    <t>Suellen Cristina s.De Araujo</t>
  </si>
  <si>
    <t>Dente 18, Dente 38</t>
  </si>
  <si>
    <t>Dente 11, Dente 21</t>
  </si>
  <si>
    <t>Dente 24, Dente 26, Dente 37</t>
  </si>
  <si>
    <t>Isabelle Faria M</t>
  </si>
  <si>
    <t>Benedita Pereira Da Silva</t>
  </si>
  <si>
    <t>25%</t>
  </si>
  <si>
    <t>Maria Alejandra</t>
  </si>
  <si>
    <t>(15) 9810-23436</t>
  </si>
  <si>
    <t>Dente 18, Dente 28, Dente 38</t>
  </si>
  <si>
    <t>Lucas De Sausa Vitalino</t>
  </si>
  <si>
    <t>(15) 9964-33979</t>
  </si>
  <si>
    <t>REMOÇÃO DE COLA APARELHO - POLIMENTO</t>
  </si>
  <si>
    <t>Joyce Rodrigues Dos Santos</t>
  </si>
  <si>
    <t>(15) 9812-98806</t>
  </si>
  <si>
    <t>Suenia Cassimiro Barbosa</t>
  </si>
  <si>
    <t>(15) 9882-88543</t>
  </si>
  <si>
    <t>Dente 11, Dente 22, Dente 23</t>
  </si>
  <si>
    <t>Joseni Souza Pereira</t>
  </si>
  <si>
    <t>(15) 9966-14095</t>
  </si>
  <si>
    <t>Dente 16, Dente 26, Dente 31, Dente 32, Dente 33, Dente 41</t>
  </si>
  <si>
    <t>Abner Siqueira</t>
  </si>
  <si>
    <t>(15) 9985-66210</t>
  </si>
  <si>
    <t>Dente 16, Dente 21, Dente 22, Dente 35, Dente 45, Dente 46</t>
  </si>
  <si>
    <t>Felipe Pereira Da Silva</t>
  </si>
  <si>
    <t>(15) 9968-59343</t>
  </si>
  <si>
    <t>Bruno De Souza Cardoso</t>
  </si>
  <si>
    <t>(15) 9915-28591</t>
  </si>
  <si>
    <t>Marinalva Ribeiro De Souza</t>
  </si>
  <si>
    <t>(15) 9978-72362</t>
  </si>
  <si>
    <t>Vitor Dos Reis De Amarante</t>
  </si>
  <si>
    <t>(15) 9917-37268</t>
  </si>
  <si>
    <t>Gustavo Dos Santos Checa</t>
  </si>
  <si>
    <t>(15) 9917-80999</t>
  </si>
  <si>
    <t>Laura Ribeiro Bleinat</t>
  </si>
  <si>
    <t>(15) 9979-15727</t>
  </si>
  <si>
    <t>Dente 36, Decíduo 54</t>
  </si>
  <si>
    <t>Luana Carolina De Oliveira Melo</t>
  </si>
  <si>
    <t>(15) 9982-58644</t>
  </si>
  <si>
    <t>André Alves Fogaça</t>
  </si>
  <si>
    <t>(15) 9813-03605</t>
  </si>
  <si>
    <t>Luciana Oliveira</t>
  </si>
  <si>
    <t>(15) 9813-84024</t>
  </si>
  <si>
    <t>EMERGÊNCIA PRÓTESE</t>
  </si>
  <si>
    <t>Dente 42</t>
  </si>
  <si>
    <t>Michele Mendes Cabrera</t>
  </si>
  <si>
    <t>(13) 9888-14174</t>
  </si>
  <si>
    <t>Dente 11, Dente 12, Dente 13, Dente 14, Dente 15, Dente 21, Dente 22, Dente 23, Dente 24, Dente 25, Dente 31, Dente 32, Dente 33, Dente 34, Dente 35, Dente 41, Dente 42, Dente 43, Dente 44, Dente 45</t>
  </si>
  <si>
    <t>20</t>
  </si>
  <si>
    <t>Maria Regina Das Flores Sousa Oliveira</t>
  </si>
  <si>
    <t>(15) 9912-18389</t>
  </si>
  <si>
    <t>Nicolas Stefani Dos Santos</t>
  </si>
  <si>
    <t>(15) 9811-27945</t>
  </si>
  <si>
    <t>Vivian Quadros Vieira</t>
  </si>
  <si>
    <t>(15) 9977-92261</t>
  </si>
  <si>
    <t>EMERGÊNCIA DENTÍSTICA</t>
  </si>
  <si>
    <t>Veronice De Lima</t>
  </si>
  <si>
    <t>(15) 9928-11454</t>
  </si>
  <si>
    <t>Dente 12, Dente 32</t>
  </si>
  <si>
    <t>Lais Gomes Meira</t>
  </si>
  <si>
    <t>(15) 9882-41368</t>
  </si>
  <si>
    <t>Jussara Maria Alves</t>
  </si>
  <si>
    <t>(15) 9883-87115</t>
  </si>
  <si>
    <t>Marcos Antunes</t>
  </si>
  <si>
    <t>(15) 9918-30250</t>
  </si>
  <si>
    <t>Kathleen Vitoria Melo Gomes</t>
  </si>
  <si>
    <t>(15) 9915-05361</t>
  </si>
  <si>
    <t>Natalia Ortega Ferreira</t>
  </si>
  <si>
    <t>Dente 25, Dente 27, Dente 45</t>
  </si>
  <si>
    <t>Taina Cristina Batista Da Silva</t>
  </si>
  <si>
    <t>(15) 9919-22140</t>
  </si>
  <si>
    <t>Dente 26, Dente 27, Dente 46</t>
  </si>
  <si>
    <t>Vanusa De Fátima Do Amaral</t>
  </si>
  <si>
    <t>(15) 9978-18725</t>
  </si>
  <si>
    <t>Weslley Kauan Pereira Aquino</t>
  </si>
  <si>
    <t>(11) 9635-96762</t>
  </si>
  <si>
    <t>Sandrielle Da Silva Aquino</t>
  </si>
  <si>
    <t>Francisco Emanoel Da Silva Aquino</t>
  </si>
  <si>
    <t>Ana Paula Lopes Da Silva</t>
  </si>
  <si>
    <t>(15) 9979-82504</t>
  </si>
  <si>
    <t>Isabela Dos Santos Souza</t>
  </si>
  <si>
    <t>(15) 9972-06043</t>
  </si>
  <si>
    <t>Dente 16, Dente 21</t>
  </si>
  <si>
    <t>Anagilda Gomes Ferreira</t>
  </si>
  <si>
    <t>(15) 9984-29922</t>
  </si>
  <si>
    <t>Dente 34, Dente 45</t>
  </si>
  <si>
    <t>Daiani Almeida Grahn</t>
  </si>
  <si>
    <t>(15) 9817-54427</t>
  </si>
  <si>
    <t>Michele Cristine Bertholino</t>
  </si>
  <si>
    <t>(15) 9814-34335</t>
  </si>
  <si>
    <t>GENGIVECTOMIA/GENGIVOPLASTIA</t>
  </si>
  <si>
    <t>Yuri Dos Santos Marcato</t>
  </si>
  <si>
    <t>(15) 9917-09118</t>
  </si>
  <si>
    <t>Dente 13, Dente 23, Dente 26, Dente 46</t>
  </si>
  <si>
    <t>Daiane Cristina Germiniani De Souza</t>
  </si>
  <si>
    <t>(15) 9916-08267</t>
  </si>
  <si>
    <t>Dente 44, Dente 45</t>
  </si>
  <si>
    <t>Dente 16, Dente 17, Dente 21, Dente 26, Dente 44, Dente 45</t>
  </si>
  <si>
    <t>Neuza Cristina Da Silva Santos</t>
  </si>
  <si>
    <t>(15) 9882-94994</t>
  </si>
  <si>
    <t>Dente 15, Dente 16, Dente 17, Dente 27, Dente 28, Dente 36, Dente 37</t>
  </si>
  <si>
    <t>Raimunda Cardoso Chaves</t>
  </si>
  <si>
    <t>(15) 9818-93983</t>
  </si>
  <si>
    <t>Lais Fernanda Milani Lopes</t>
  </si>
  <si>
    <t>(15) 9910-51553</t>
  </si>
  <si>
    <t>Keila De Ssouza Silva</t>
  </si>
  <si>
    <t>(91) 9919-51593</t>
  </si>
  <si>
    <t>Edneia Cristina Vieira Lima</t>
  </si>
  <si>
    <t>(15) 9914-34141</t>
  </si>
  <si>
    <t>Vera Lúcia Oliveira Madureira</t>
  </si>
  <si>
    <t>(15) 9880-56443</t>
  </si>
  <si>
    <t>Viviane Azevedo De Amorim</t>
  </si>
  <si>
    <t>(15) 9911-15939</t>
  </si>
  <si>
    <t>Cassia Valéria Jardim Aragão</t>
  </si>
  <si>
    <t>(15) 9981-77669</t>
  </si>
  <si>
    <t>Jose Jorge Oliveira Dos Santos</t>
  </si>
  <si>
    <t>(15) 9815-07082</t>
  </si>
  <si>
    <t>Elizabeth Perez</t>
  </si>
  <si>
    <t>(15) 9972-00951</t>
  </si>
  <si>
    <t>Dente 23, Dente 36, Dente 45</t>
  </si>
  <si>
    <t>Franciely Da Silva Barreto</t>
  </si>
  <si>
    <t>(15) 9919-53034</t>
  </si>
  <si>
    <t>Dente 27, Dente 47</t>
  </si>
  <si>
    <t>Carlos Alves Ferreira</t>
  </si>
  <si>
    <t>(15) 9811-24608</t>
  </si>
  <si>
    <t>Tratamento_9</t>
  </si>
  <si>
    <t>Dentes/Arcada_9</t>
  </si>
  <si>
    <t>Quantidade_9</t>
  </si>
  <si>
    <t>Daniel De Oliveira Barbosa</t>
  </si>
  <si>
    <t>Dente 17, Dente 27</t>
  </si>
  <si>
    <t>Amanda Carvalho Cunha Lagoa</t>
  </si>
  <si>
    <t>Rosa Josefik</t>
  </si>
  <si>
    <t>Elisabete Gomes Da Silva</t>
  </si>
  <si>
    <t>Marina Rafaella Pena</t>
  </si>
  <si>
    <t>Danieli Eli Melo Almeida Paldini</t>
  </si>
  <si>
    <t>Rodrigo Carvalho Do Nascimento</t>
  </si>
  <si>
    <t>Eduardo Cardoso Da Silva</t>
  </si>
  <si>
    <t>Dente 15, Dente 28, Dente 36</t>
  </si>
  <si>
    <t>Cineria Caetano Da Silva</t>
  </si>
  <si>
    <t>Larissa Matos Sebastião</t>
  </si>
  <si>
    <t>Thais Helena Lima Da Silva</t>
  </si>
  <si>
    <t>Luana Maria Dos Santos</t>
  </si>
  <si>
    <t>Dente 28</t>
  </si>
  <si>
    <t>Marcelino Marques De Oliveira</t>
  </si>
  <si>
    <t>Dente 17, Dente 25, Dente 27</t>
  </si>
  <si>
    <t>Teste</t>
  </si>
  <si>
    <t>Dente 13, Dente 22, Dente 25, Dente 33, Dente 43</t>
  </si>
  <si>
    <t>Adenir Francisco De O</t>
  </si>
  <si>
    <t>Dente 31, Dente 32, Dente 33, Dente 41, Dente 42, Dente 43, Dente 44</t>
  </si>
  <si>
    <t>Juliane Biagini</t>
  </si>
  <si>
    <t>Dente 14, Dente 27, Dente 47</t>
  </si>
  <si>
    <t>Jose Augusto De Almeida Silva</t>
  </si>
  <si>
    <t>Dente 27, Dente 37, Dente 46</t>
  </si>
  <si>
    <t>Maria Luciana Borges</t>
  </si>
  <si>
    <t>Dente 15, Dente 24, Dente 25, Dente 34, Dente 35</t>
  </si>
  <si>
    <t>Wesley Lameiro De Faria</t>
  </si>
  <si>
    <t>Dente 38, Dente 48</t>
  </si>
  <si>
    <t>Ingrid Borges De Souza</t>
  </si>
  <si>
    <t>Edna Alexandre Domingues</t>
  </si>
  <si>
    <t>Valter Virginio De Oliveira</t>
  </si>
  <si>
    <t>Rozineia Caldeira De Andrade</t>
  </si>
  <si>
    <t>Valdivina Ladeia De Lima</t>
  </si>
  <si>
    <t>Dente 21, Dente 22, Dente 37, Dente 46</t>
  </si>
  <si>
    <t>Elisio Da Silva Filho</t>
  </si>
  <si>
    <t>Dente 11, Dente 15, Dente 21, Dente 31, Dente 32, Dente 41, Dente 47</t>
  </si>
  <si>
    <t>PERIO MODERADA ATÉ 8 SESSÕES</t>
  </si>
  <si>
    <t>Dente 22, Dente 24, Dente 25, Dente 26, Dente 27, Dente 35, Dente 45</t>
  </si>
  <si>
    <t>Fernanda Silva Paes</t>
  </si>
  <si>
    <t>Dente 44</t>
  </si>
  <si>
    <t>COROA UNITÁRIA TEMPORÁRIA SOBRE IMPLANTE (RESINA)</t>
  </si>
  <si>
    <t>José Ap De Souza</t>
  </si>
  <si>
    <t>Dente 31, Dente 41</t>
  </si>
  <si>
    <t>David</t>
  </si>
  <si>
    <t>Marilda Martins Miranda</t>
  </si>
  <si>
    <t>Dente 12, Dente 21, Dente 23, Dente 24, Dente 25, Dente 41</t>
  </si>
  <si>
    <t>Dente 12, Dente 21, Dente 23, Dente 25, Dente 41</t>
  </si>
  <si>
    <t>Dente 31, Dente 32, Dente 33, Dente 34, Dente 42, Dente 43</t>
  </si>
  <si>
    <t>Natalia Camargo De Lima</t>
  </si>
  <si>
    <t>Miguel Anador De Almeida</t>
  </si>
  <si>
    <t>Dente 31, Dente 32, Dente 35, Dente 36, Dente 41</t>
  </si>
  <si>
    <t>Dente 32, Dente 41</t>
  </si>
  <si>
    <t>Dente 32, Dente 35, Dente 36, Dente 41</t>
  </si>
  <si>
    <t>Otavio Ribeiro Da Silva</t>
  </si>
  <si>
    <t>Dente 34, Dente 35, Dente 44</t>
  </si>
  <si>
    <t>Antonio Do Nascimento Pera</t>
  </si>
  <si>
    <t>Adriel Henrique Santana De Paula</t>
  </si>
  <si>
    <t>APARELHO ORTOPÉDICO</t>
  </si>
  <si>
    <t>APLICAÇÃO DE SELANTE POR DENTE</t>
  </si>
  <si>
    <t>ULECTOMIA/ULOTOMIA</t>
  </si>
  <si>
    <t>Rosana Dorta Bernades</t>
  </si>
  <si>
    <t>Guilherme Da Silva Baun</t>
  </si>
  <si>
    <t>Iraney Marques De s.Silva</t>
  </si>
  <si>
    <t>Dente 41, Dente 46, Dente 47</t>
  </si>
  <si>
    <t>Dente 33</t>
  </si>
  <si>
    <t>Lielson Santiago Da Silva</t>
  </si>
  <si>
    <t>RETRATAMENTO ENDO TRI RADICULAR</t>
  </si>
  <si>
    <t>Sergio Garcia</t>
  </si>
  <si>
    <t>Maria Henriques Da Silva</t>
  </si>
  <si>
    <t>Dente 11, Dente 15, Dente 21, Dente 46</t>
  </si>
  <si>
    <t>Benedita Nunes</t>
  </si>
  <si>
    <t>Arlindo Luis Pereira</t>
  </si>
  <si>
    <t>Ana Paula Dos Santos</t>
  </si>
  <si>
    <t>Hugo Alves Macedo</t>
  </si>
  <si>
    <t>Nathan Enzo</t>
  </si>
  <si>
    <t>Dente 11, Dente 12, Dente 22, Dente 46</t>
  </si>
  <si>
    <t>Gerson Henrique Dourado</t>
  </si>
  <si>
    <t>Dente 11, Dente 12, Dente 13, Dente 15, Dente 22, Dente 37</t>
  </si>
  <si>
    <t>Rafaela Da Silva</t>
  </si>
  <si>
    <t>Dente 36, Dente 44</t>
  </si>
  <si>
    <t>Sergio Mariano Ribas</t>
  </si>
  <si>
    <t>Dente 11, Dente 21, Dente 46, Dente 47</t>
  </si>
  <si>
    <t>Dente 12, Dente 23, Dente 24, Dente 25, Dente 26, Dente 44, Dente 45</t>
  </si>
  <si>
    <t>Di Tianrun</t>
  </si>
  <si>
    <t>Lana Carolina Silva Costa</t>
  </si>
  <si>
    <t>Dente 12, Dente 13, Dente 14, Dente 43, Dente 45, Dente 46</t>
  </si>
  <si>
    <t>Santilia Do Amaral</t>
  </si>
  <si>
    <t>Dente 31, Dente 32, Dente 33, Dente 41, Dente 42</t>
  </si>
  <si>
    <t>Edavldo Santos Lima</t>
  </si>
  <si>
    <t>Dente 14, Dente 15, Dente 17</t>
  </si>
  <si>
    <t>Dente 21, Dente 23, Dente 32</t>
  </si>
  <si>
    <t>Dente 12, Dente 21, Dente 26, Dente 33, Dente 34</t>
  </si>
  <si>
    <t>Diego Marteus Belissimo Martins</t>
  </si>
  <si>
    <t>Ana Júlia Firmino Marciano</t>
  </si>
  <si>
    <t>Jéssica Pamela Ferreira Overa</t>
  </si>
  <si>
    <t>Daniel De Jesus</t>
  </si>
  <si>
    <t>Dente 14, Dente 41</t>
  </si>
  <si>
    <t>Giovanni Da Silva Apolinario</t>
  </si>
  <si>
    <t>Ilda Da Silva De Oliveira</t>
  </si>
  <si>
    <t>Dente 13, Dente 14, Dente 15, Dente 34, Dente 35</t>
  </si>
  <si>
    <t>Dente 13, Dente 15, Dente 34, Dente 35</t>
  </si>
  <si>
    <t>Ana Luiza Machado Godinho Marceno De Macedo</t>
  </si>
  <si>
    <t>Fernanda Guimaraes De Freitas</t>
  </si>
  <si>
    <t>Dente 17, Dente 18, Dente 27, Dente 28, Dente 37, Dente 38, Dente 46, Dente 47</t>
  </si>
  <si>
    <t>Victor Emanoel José Da Silva</t>
  </si>
  <si>
    <t>Dente 16, Dente 17, Dente 21, Dente 26, Dente 27, Dente 36</t>
  </si>
  <si>
    <t>Rufino Aparecido Lopes De Oliveira</t>
  </si>
  <si>
    <t>Dente 11, Dente 15, Dente 24, Dente 25, Dente 34, Dente 44, Dente 45</t>
  </si>
  <si>
    <t>Maria Senei Nogueira Gonçalves</t>
  </si>
  <si>
    <t>Rafaela Da Silva Ferreira</t>
  </si>
  <si>
    <t>Erick Diego Brandini Da Cunha</t>
  </si>
  <si>
    <t>Dente 15, Dente 36, Dente 37, Dente 45, Dente 48</t>
  </si>
  <si>
    <t>Anderson Orejana</t>
  </si>
  <si>
    <t>Mariana Caroline De Godoi Silva Lameiro</t>
  </si>
  <si>
    <t>Elizabeth Marques Aguiar</t>
  </si>
  <si>
    <t>Dente 16, Dente 17, Dente 27</t>
  </si>
  <si>
    <t>Elias De Melo Silva</t>
  </si>
  <si>
    <t>Lucas Henrique De Andrade Araujo</t>
  </si>
  <si>
    <t>Marina Rafaela Pena</t>
  </si>
  <si>
    <t>Daniel De Assis Silva</t>
  </si>
  <si>
    <t>Sônia</t>
  </si>
  <si>
    <t>Dente 13, Dente 15, Dente 16, Dente 22, Dente 34, Dente 35, Dente 38, Dente 45, Dente 48</t>
  </si>
  <si>
    <t>Mikaelle Almeida Moreira</t>
  </si>
  <si>
    <t>Dente 17, Dente 45, Dente 46, Dente 48</t>
  </si>
  <si>
    <t>Jane Lucena De Moura</t>
  </si>
  <si>
    <t>Vanderson De Almeida</t>
  </si>
  <si>
    <t>Isadora Attie De Freitas</t>
  </si>
  <si>
    <t>Cristiane Martins Hoffmann</t>
  </si>
  <si>
    <t>Dente 16, Dente 26, Dente 36, Dente 46, Dente 47</t>
  </si>
  <si>
    <t>Rafael</t>
  </si>
  <si>
    <t>Danilo Roberto Lima De Deus Ferreira</t>
  </si>
  <si>
    <t>Dente 26, Dente 36, Dente 46</t>
  </si>
  <si>
    <t>Ailton Silva Jardim</t>
  </si>
  <si>
    <t>Eduardo</t>
  </si>
  <si>
    <t>Talita Francine Ferreira Dos Santos</t>
  </si>
  <si>
    <t>Dente 11, Dente 36</t>
  </si>
  <si>
    <t>Vinicius Silva Jardim</t>
  </si>
  <si>
    <t>Graciele Alves Gomes Da Silva</t>
  </si>
  <si>
    <t>Dente 34, Dente 35</t>
  </si>
  <si>
    <t>Julio Cesar</t>
  </si>
  <si>
    <t>Dente 12, Dente 24, Dente 38, Dente 47, Dente 48</t>
  </si>
  <si>
    <t>Wilian Primo Camargo</t>
  </si>
  <si>
    <t>Dente 22, Dente 23</t>
  </si>
  <si>
    <t>Dente 37, Dente 46, Dente 47</t>
  </si>
  <si>
    <t>Luan Ravi De Souza</t>
  </si>
  <si>
    <t>Antonio Pereira Medeiro</t>
  </si>
  <si>
    <t>Janio Groth Fusquini</t>
  </si>
  <si>
    <t>Eduarda De Almeida Mota</t>
  </si>
  <si>
    <t>Decíduo 55, Decíduo 85</t>
  </si>
  <si>
    <t>Aline Stefani Dis Reis Muller</t>
  </si>
  <si>
    <t>RECONSTRUCAO EM RESINA</t>
  </si>
  <si>
    <t>Danieli Gomes Rodrigues</t>
  </si>
  <si>
    <t>Maria De Lurdes De B.</t>
  </si>
  <si>
    <t>Dente 31, Dente 36</t>
  </si>
  <si>
    <t>Amanda Bernades De B.</t>
  </si>
  <si>
    <t>José Alves Martins</t>
  </si>
  <si>
    <t>Dente 41, Dente 42, Dente 43, Dente 44, Dente 45, Dente 46</t>
  </si>
  <si>
    <t>Dente 42, Dente 43, Dente 44, Dente 45</t>
  </si>
  <si>
    <t>Jessica Souza Santos</t>
  </si>
  <si>
    <t>Dente 17, Dente 26, Dente 27, Dente 37, Dente 45, Dente 46, Dente 47</t>
  </si>
  <si>
    <t>Edson Rosa Bonfim Junior</t>
  </si>
  <si>
    <t>Dente 27, Dente 38</t>
  </si>
  <si>
    <t>Marcio Vieira</t>
  </si>
  <si>
    <t>Nágison Ferreira Brito</t>
  </si>
  <si>
    <t>COLAGEM DE CONTENÇÃO</t>
  </si>
  <si>
    <t>Magnalda Simoes</t>
  </si>
  <si>
    <t>Nathaly Santos</t>
  </si>
  <si>
    <t>Dente 28, Dente 38, Dente 48</t>
  </si>
  <si>
    <t>Dente 26, Dente 46</t>
  </si>
  <si>
    <t>Bruno Antonio Barbosa Dos Santos</t>
  </si>
  <si>
    <t>Iago Fernandes De Oliveira</t>
  </si>
  <si>
    <t>Dente 14, Dente 16, Dente 26, Dente 27, Dente 36, Dente 46</t>
  </si>
  <si>
    <t>Dente 16, Dente 27, Dente 46</t>
  </si>
  <si>
    <t>Dente 13, Dente 15, Dente 21, Dente 35, Dente 37, Dente 44, Dente 45, Dente 46, Dente 47, Dente 48</t>
  </si>
  <si>
    <t>Lara Tibardino Maranhão</t>
  </si>
  <si>
    <t>Alexandre Rodrigo Santos</t>
  </si>
  <si>
    <t>Amarildo Martins Mariano</t>
  </si>
  <si>
    <t>Abigail Cardoso Gomes</t>
  </si>
  <si>
    <t>Valdinei Aparecido De Carvalho</t>
  </si>
  <si>
    <t>Dente 23, Dente 44</t>
  </si>
  <si>
    <t>Ester Fogaça Da Silva</t>
  </si>
  <si>
    <t>Warley Dos Reis Coimbra</t>
  </si>
  <si>
    <t>Lilian Xavier De Almeida</t>
  </si>
  <si>
    <t>Dente 47, Dente 48</t>
  </si>
  <si>
    <t>Daived Willian Dos Santos Ferreira</t>
  </si>
  <si>
    <t>Luiza Vitória Moreira Da Silva</t>
  </si>
  <si>
    <t>Decíduo 52, Decíduo 62, Decíduo 84</t>
  </si>
  <si>
    <t>Kalebe Fabiano Santos De Andrade</t>
  </si>
  <si>
    <t>APARELHO PORCELANA</t>
  </si>
  <si>
    <t>Carla Santos Amorim Andrade</t>
  </si>
  <si>
    <t>Dente 14, Dente 16, Dente 17, Dente 24, Dente 25, Dente 28, Dente 37, Dente 38</t>
  </si>
  <si>
    <t>Nayara Camily Lima De Souza</t>
  </si>
  <si>
    <t>Dente 16, Dente 17, Dente 21, Dente 22, Dente 26, Dente 27</t>
  </si>
  <si>
    <t>Jesse Felipe Pereira</t>
  </si>
  <si>
    <t>Dente 12, Dente 13, Dente 14, Dente 15, Dente 32, Dente 33, Dente 36, Dente 37, Dente 43, Dente 44, Dente 46</t>
  </si>
  <si>
    <t>11</t>
  </si>
  <si>
    <t>Daniel Antônio Moreira</t>
  </si>
  <si>
    <t>Larissa Cassia</t>
  </si>
  <si>
    <t>PIERCING DENTAL - INSTALAÇÃO DE CRISTAL LAPIDADO (POR UNIDADE)</t>
  </si>
  <si>
    <t>Mifaelhe De Lima Batista</t>
  </si>
  <si>
    <t>Decíduo 52</t>
  </si>
  <si>
    <t>Dente 12, Dente 22</t>
  </si>
  <si>
    <t>Hiago Vicente Baía</t>
  </si>
  <si>
    <t>Decíduo 65</t>
  </si>
  <si>
    <t>Taina De Saouza Bezerra</t>
  </si>
  <si>
    <t>Dente 17, Dente 37</t>
  </si>
  <si>
    <t>Nicolas Souza Teles De Oliveira</t>
  </si>
  <si>
    <t>Gustavo</t>
  </si>
  <si>
    <t>ENDODONTIA DECÍDUO</t>
  </si>
  <si>
    <t>Decíduo 54</t>
  </si>
  <si>
    <t>Ryan Da Silva Souza</t>
  </si>
  <si>
    <t>Victor Inácio Muraro</t>
  </si>
  <si>
    <t>Carlos Andre Nunes Santos</t>
  </si>
  <si>
    <t>Andreia Batista De Almeida Felipe</t>
  </si>
  <si>
    <t>EXODONTIA SUPRA NUMERARIO INCLUSO</t>
  </si>
  <si>
    <t>Dente 34</t>
  </si>
  <si>
    <t>Leonardo Henrique Tenari Silva</t>
  </si>
  <si>
    <t>Felipe Ferreira Campos</t>
  </si>
  <si>
    <t>Dente 11, Dente 12, Dente 21, Dente 27, Dente 47</t>
  </si>
  <si>
    <t>Ana Cláudia Aires Carvalho</t>
  </si>
  <si>
    <t>Dente 21, Dente 23, Dente 24, Dente 34</t>
  </si>
  <si>
    <t>Larissa Kilaine Da Silva Santos</t>
  </si>
  <si>
    <t>Elisangela Francisca Fernandes</t>
  </si>
  <si>
    <t>COROA PROVISÓRIA SOBRE IMPLANTE IMPORTADA - POR ELEMENTO</t>
  </si>
  <si>
    <t>Nelci Fernando Velozo</t>
  </si>
  <si>
    <t>Dente 34, Dente 35, Dente 42, Dente 43</t>
  </si>
  <si>
    <t>Patricia Mara De Lima</t>
  </si>
  <si>
    <t>Vera Lucia Bijava</t>
  </si>
  <si>
    <t>Dente 13, Dente 22, Dente 23</t>
  </si>
  <si>
    <t>Monica Sayuri Samitso</t>
  </si>
  <si>
    <t>CONTENÇÃO INVISALIGN VIVERA 2 ARCOS</t>
  </si>
  <si>
    <t>Maria Lusinete Dos Santos Da Silva</t>
  </si>
  <si>
    <t>Dente 14, Dente 21, Dente 24, Dente 31, Dente 32, Dente 33, Dente 42</t>
  </si>
  <si>
    <t>Marissa Soares Gonzaga Da Silva</t>
  </si>
  <si>
    <t>Dente 12, Dente 14, Dente 25, Dente 47</t>
  </si>
  <si>
    <t>Fabio Augusto Souza Costa</t>
  </si>
  <si>
    <t>Sandro Rodrigues Ferreira</t>
  </si>
  <si>
    <t>Anna Gabriela Cruz Gomes</t>
  </si>
  <si>
    <t>Richard Felipe De Souza</t>
  </si>
  <si>
    <t>Eloa Vivian Martins Souza</t>
  </si>
  <si>
    <t>Guilherme Henrique Almeida Nascimento</t>
  </si>
  <si>
    <t>Fabiana Ribeiro Barros Da Silveira</t>
  </si>
  <si>
    <t>André Barbosa Gomes</t>
  </si>
  <si>
    <t>Adaulto Rodrigues Da Silva Junior</t>
  </si>
  <si>
    <t>Dente 14, Dente 15, Dente 27, Dente 28, Dente 37</t>
  </si>
  <si>
    <t>Eliana Cristina Miranda</t>
  </si>
  <si>
    <t>Marcos Mateus Ribeiro</t>
  </si>
  <si>
    <t>Dente 26, Dente 27, Dente 35, Dente 47</t>
  </si>
  <si>
    <t>Ana Paula Moraes Motta</t>
  </si>
  <si>
    <t>Mara Cristina Silva Camargo</t>
  </si>
  <si>
    <t>Dente 11, Dente 21, Dente 36, Dente 44, Dente 46</t>
  </si>
  <si>
    <t>Dente 12, Dente 14, Dente 15, Dente 24, Dente 35, Dente 47</t>
  </si>
  <si>
    <t>Nadiran Oliveira De Jesus</t>
  </si>
  <si>
    <t>Diego Bezerra De Almeida</t>
  </si>
  <si>
    <t>Ivone De Jesus Freitas</t>
  </si>
  <si>
    <t>Dente 31, Dente 32, Dente 33, Dente 34, Dente 41, Dente 42</t>
  </si>
  <si>
    <t>Dente 31, Dente 33, Dente 41, Dente 43</t>
  </si>
  <si>
    <t>Renata Diniz Munhoz</t>
  </si>
  <si>
    <t>Dente 24, Dente 26, Dente 28, Dente 47</t>
  </si>
  <si>
    <t>Erika Rafaela Ramos De Souza</t>
  </si>
  <si>
    <t>Dente 16, Dente 17, Dente 24, Dente 27, Dente 36, Dente 37, Dente 44, Dente 46, Dente 47</t>
  </si>
  <si>
    <t>Fabio Domingos Dos Passos</t>
  </si>
  <si>
    <t>Reinaldo Ap. Campos Domingues</t>
  </si>
  <si>
    <t>Marcus Vinicius Ramos</t>
  </si>
  <si>
    <t>Rogerio Borges Da Cruz</t>
  </si>
  <si>
    <t>Dente 11, Dente 12, Dente 25, Dente 26, Dente 35, Dente 36, Dente 37, Dente 44, Dente 45, Dente 46, Dente 47</t>
  </si>
  <si>
    <t>Dente 12, Dente 13, Dente 14, Dente 22</t>
  </si>
  <si>
    <t>Jose Ricardo De Oliveira</t>
  </si>
  <si>
    <t>Dente 25, Dente 44</t>
  </si>
  <si>
    <t>Jhonattan Aleff Ribeiro</t>
  </si>
  <si>
    <t>Patricia Harume Nishiyama</t>
  </si>
  <si>
    <t>Dente 13, Dente 15, Dente 23, Dente 43, Dente 44, Dente 45</t>
  </si>
  <si>
    <t>Eduardo Lopes Pereira</t>
  </si>
  <si>
    <t>Dente 18, Dente 48</t>
  </si>
  <si>
    <t>Dente 11, Dente 21, Dente 35, Dente 47</t>
  </si>
  <si>
    <t>Angela Maria Batista De Oliveira Silva</t>
  </si>
  <si>
    <t>Dente 31, Dente 32, Dente 33, Dente 34, Dente 35, Dente 36, Dente 37, Dente 45</t>
  </si>
  <si>
    <t>Dente 11, Dente 12, Dente 13, Dente 14, Dente 21, Dente 22, Dente 31, Dente 32, Dente 33, Dente 35, Dente 37, Dente 45</t>
  </si>
  <si>
    <t>12</t>
  </si>
  <si>
    <t>Yasmin Cristina Lopes Oliveira</t>
  </si>
  <si>
    <t>Dente 16, Dente 27, Dente 44</t>
  </si>
  <si>
    <t>Eliane Cristina Miranda Dos Santos</t>
  </si>
  <si>
    <t>Gabriela Alves Do Nascimento</t>
  </si>
  <si>
    <t>Maria Luiza Florência De Souza</t>
  </si>
  <si>
    <t>João De Souza</t>
  </si>
  <si>
    <t>Dente 11, Dente 12, Dente 21, Dente 22, Dente 23, Dente 24</t>
  </si>
  <si>
    <t>Durvalina Regina De Oliveira</t>
  </si>
  <si>
    <t>Ritieli Lorbieski De Oliveira Queiroz</t>
  </si>
  <si>
    <t>Dente 25, Dente 26, Dente 36, Dente 37</t>
  </si>
  <si>
    <t>Dente 11, Dente 12, Dente 21, Dente 22</t>
  </si>
  <si>
    <t>Jobs Júnior</t>
  </si>
  <si>
    <t>Dente 11, Dente 12, Dente 26, Dente 35</t>
  </si>
  <si>
    <t>Elenice De Jesus França</t>
  </si>
  <si>
    <t>Dente 14, Dente 15, Dente 44</t>
  </si>
  <si>
    <t>Nycolas</t>
  </si>
  <si>
    <t>Manoel Leite Cabral</t>
  </si>
  <si>
    <t>Dente 34, Dente 35, Dente 36, Dente 44, Dente 45, Dente 46</t>
  </si>
  <si>
    <t>Dente 11, Dente 12, Dente 21, Dente 22, Dente 23, Dente 24, Dente 34, Dente 36, Dente 44, Dente 46</t>
  </si>
  <si>
    <t>Antonio Matheus De Oliveira Moraes</t>
  </si>
  <si>
    <t>Decíduo 53</t>
  </si>
  <si>
    <t>Bruna De Moraes Vieira</t>
  </si>
  <si>
    <t>Neusa Maria Oliveira Ramos</t>
  </si>
  <si>
    <t>Dente 41, Dente 42</t>
  </si>
  <si>
    <t>Dente 23, Dente 24</t>
  </si>
  <si>
    <t>Miguel Portela De Carvalho</t>
  </si>
  <si>
    <t>Dente 14, Dente 15</t>
  </si>
  <si>
    <t>Antônio Marques Da Silva</t>
  </si>
  <si>
    <t>Dente 13, Dente 14, Dente 15, Dente 16, Dente 23, Dente 24, Dente 25, Dente 26</t>
  </si>
  <si>
    <t>Dente 13, Dente 16, Dente 23, Dente 26</t>
  </si>
  <si>
    <t>Indianaria Padilha Simão Da Silva</t>
  </si>
  <si>
    <t>Jessica Dias Do Prado</t>
  </si>
  <si>
    <t>Adriana N. Cavichioli Porfirio</t>
  </si>
  <si>
    <t>Rosana S. M. Camargo</t>
  </si>
  <si>
    <t>Dente 14, Dente 36, Dente 37</t>
  </si>
  <si>
    <t>José De Assis Sobrinho</t>
  </si>
  <si>
    <t>Telma Carolina Alvez</t>
  </si>
  <si>
    <t>Maricélio Eufrazio Da Silva</t>
  </si>
  <si>
    <t>Maria Elizabete Braz Da Rocha</t>
  </si>
  <si>
    <t>Dente 17, Dente 35</t>
  </si>
  <si>
    <t>Heloise Antunes Cordeiro</t>
  </si>
  <si>
    <t>Renato César Higyno Antunes</t>
  </si>
  <si>
    <t>David Melo Almeida Padini</t>
  </si>
  <si>
    <t>Dvaid Mell9o Almeida Paldini</t>
  </si>
  <si>
    <t>Rosa Maria Rodrigues De Oliveira Araujo</t>
  </si>
  <si>
    <t>Dente 15, Dente 24, Dente 25</t>
  </si>
  <si>
    <t>Douglas José Antunes Chiara</t>
  </si>
  <si>
    <t>Dente 17, Dente 38, Dente 43, Dente 44, Dente 47</t>
  </si>
  <si>
    <t>Samara Donaire Quintiliani</t>
  </si>
  <si>
    <t>Dente 13, Dente 14, Dente 15, Dente 23, Dente 24, Dente 36, Dente 37, Dente 44, Dente 45, Dente 46, Dente 47</t>
  </si>
  <si>
    <t>Lucineide Ramos Alves</t>
  </si>
  <si>
    <t>Dente 11, Dente 12, Dente 13, Dente 21, Dente 22, Dente 23, Dente 31, Dente 41, Dente 42, Dente 43</t>
  </si>
  <si>
    <t>Anderson Monteiro Ayres</t>
  </si>
  <si>
    <t>Flavio Barreto De Oliveira</t>
  </si>
  <si>
    <t>Gilmar Chaves De Oliveira</t>
  </si>
  <si>
    <t>Viviane Leite Pires</t>
  </si>
  <si>
    <t>Dente 12, Dente 22, Dente 37</t>
  </si>
  <si>
    <t>Nubia Lopes Salvador Silva</t>
  </si>
  <si>
    <t>Sonia Borba Silva</t>
  </si>
  <si>
    <t>Dente 11, Dente 12, Dente 15, Dente 17, Dente 37</t>
  </si>
  <si>
    <t>Maria Da Conceição Lacerda</t>
  </si>
  <si>
    <t>Murilo Floriano Geremias</t>
  </si>
  <si>
    <t>Dente 17, Dente 36</t>
  </si>
  <si>
    <t>Dente 17, Dente 21, Dente 24, Dente 26, Dente 27, Dente 36, Dente 37, Dente 47</t>
  </si>
  <si>
    <t>Micaellen De Oliveira Soares</t>
  </si>
  <si>
    <t>Dente 27, Dente 34, Dente 35, Dente 36, Dente 37, Dente 44, Dente 45, Dente 46, Dente 47</t>
  </si>
  <si>
    <t>Maria Rubia Da Silva</t>
  </si>
  <si>
    <t>Alisson Willian Do Nascimento</t>
  </si>
  <si>
    <t>Daiane Cristina Amorim</t>
  </si>
  <si>
    <t>Dente 27, Dente 37</t>
  </si>
  <si>
    <t>Vinicius Guilherme De Souza</t>
  </si>
  <si>
    <t>Dente 16, Dente 26, Dente 36, Dente 37, Dente 46</t>
  </si>
  <si>
    <t>Elaine Alves De Souza</t>
  </si>
  <si>
    <t>Dente 14, Dente 15, Dente 16, Dente 34</t>
  </si>
  <si>
    <t>Lucilene Gomes De Carvalho</t>
  </si>
  <si>
    <t>Dente 35, Dente 36, Dente 44, Dente 45</t>
  </si>
  <si>
    <t>Dente 35, Dente 36, Dente 45, Dente 46</t>
  </si>
  <si>
    <t>Dente 11, Dente 21, Dente 34, Dente 44</t>
  </si>
  <si>
    <t>Valeria Vieira Bueno</t>
  </si>
  <si>
    <t>Pedro Henrique Corrêa Tersi</t>
  </si>
  <si>
    <t>Paloma Bispo Dos Santos</t>
  </si>
  <si>
    <t>Esther Paiva Sales</t>
  </si>
  <si>
    <t>FRENECTOMIA (LINGUAL/LABIAL)</t>
  </si>
  <si>
    <t>Gabriel Saugo Pais</t>
  </si>
  <si>
    <t>APLICAÇÃO DE FLÚOR TÓPICO</t>
  </si>
  <si>
    <t>Anna</t>
  </si>
  <si>
    <t>Dente 14, Dente 17, Dente 27</t>
  </si>
  <si>
    <t>Anderson De Lima Barbosa</t>
  </si>
  <si>
    <t>Jaine Gabrielly Moreira</t>
  </si>
  <si>
    <t>Dente 31, Dente 41, Dente 42, Dente 43</t>
  </si>
  <si>
    <t>Flavio Reis De Oliveira</t>
  </si>
  <si>
    <t>Dente 16, Dente 17, Dente 26, Dente 38, Dente 47</t>
  </si>
  <si>
    <t>Agnaldo Evaristo Domingues</t>
  </si>
  <si>
    <t>Dente 25, Dente 36</t>
  </si>
  <si>
    <t>Marcia Regina Antunes</t>
  </si>
  <si>
    <t>Reginaldo Aparecido Rodrigues</t>
  </si>
  <si>
    <t>KIT ESCOVAÇÃO</t>
  </si>
  <si>
    <t>Simone Aparecida Ramos De Gois</t>
  </si>
  <si>
    <t>Dente 14, Dente 15, Dente 16, Dente 21, Dente 22, Dente 23, Dente 24, Dente 25, Dente 26, Dente 36</t>
  </si>
  <si>
    <t>Felipe Silva Jardim</t>
  </si>
  <si>
    <t>Ivanilda Caetano Da Silva Jacob</t>
  </si>
  <si>
    <t>GENGIVECTOMIA/GENGIVOPLASTIA POR ARCADA</t>
  </si>
  <si>
    <t>Lavinia Conservani Neves</t>
  </si>
  <si>
    <t>Decíduo 64</t>
  </si>
  <si>
    <t>Milena Isabelly Costa Pereira</t>
  </si>
  <si>
    <t>Diana Monteiro Soares</t>
  </si>
  <si>
    <t>Decíduo 61</t>
  </si>
  <si>
    <t>Diego Candido Da Silva</t>
  </si>
  <si>
    <t>Aline Da Silva</t>
  </si>
  <si>
    <t>Ana Julia Da Silva Souza</t>
  </si>
  <si>
    <t>Ana Beatriz Da Silva Souza</t>
  </si>
  <si>
    <t>Cecília Ajona Mendes</t>
  </si>
  <si>
    <t>Alessandra Gomes De Almeida</t>
  </si>
  <si>
    <t>Andreia Salvador De Souza</t>
  </si>
  <si>
    <t>Edileusa Pinheiro Melo</t>
  </si>
  <si>
    <t>Juliana Antunes Cordeiro</t>
  </si>
  <si>
    <t>Daiane Priscila Cunha</t>
  </si>
  <si>
    <t>Migdaly Delvalle Pacheco De Romero</t>
  </si>
  <si>
    <t>Ana Júlia Dina De Barros</t>
  </si>
  <si>
    <t>Gabriel Santos Lima</t>
  </si>
  <si>
    <t>Amanda Carolina Dos Santos</t>
  </si>
  <si>
    <t>Vilma Selma Costa Colombani</t>
  </si>
  <si>
    <t>Dente 12, Dente 22, Dente 35, Dente 45</t>
  </si>
  <si>
    <t>Dente 37, Dente 45, Dente 46</t>
  </si>
  <si>
    <t>Emilly Ramos Soares</t>
  </si>
  <si>
    <t>VALOR TOTAL</t>
  </si>
  <si>
    <t>2113850</t>
  </si>
  <si>
    <t>Eduardo Antonio Proença</t>
  </si>
  <si>
    <t>2109119</t>
  </si>
  <si>
    <t>Márcia Brás Paião</t>
  </si>
  <si>
    <t>2117698</t>
  </si>
  <si>
    <t>Ionice Aparecida Dias De Castro Felician</t>
  </si>
  <si>
    <t>2123891</t>
  </si>
  <si>
    <t>Dina Yamashita</t>
  </si>
  <si>
    <t>2134151</t>
  </si>
  <si>
    <t>Ricardo Duque De Siqueira</t>
  </si>
  <si>
    <t>Dente 14, Dente 24, Dente 26</t>
  </si>
  <si>
    <t>Dente 24, Dente 25, Dente 26</t>
  </si>
  <si>
    <t>Dente 21, Dente 22, Dente 23</t>
  </si>
  <si>
    <t>2111399</t>
  </si>
  <si>
    <t>Wagner De Miranda Almeida</t>
  </si>
  <si>
    <t>2121009</t>
  </si>
  <si>
    <t>Waldemar Costa</t>
  </si>
  <si>
    <t>Dente 32, Dente 35, Dente 42, Dente 45</t>
  </si>
  <si>
    <t>2138019</t>
  </si>
  <si>
    <t>Waldomiro Batista Dos Santos</t>
  </si>
  <si>
    <t>2110214</t>
  </si>
  <si>
    <t>2133699</t>
  </si>
  <si>
    <t>João Moreira Otávio</t>
  </si>
  <si>
    <t>2115975</t>
  </si>
  <si>
    <t>Rosali Aparecida Jaques Alves</t>
  </si>
  <si>
    <t>2112643</t>
  </si>
  <si>
    <t>Wagner Jose Pedroso</t>
  </si>
  <si>
    <t>Dente 24, Dente 27, Dente 46, Dente 47</t>
  </si>
  <si>
    <t>Dente 14, Dente 15, Dente 16, Dente 44, Dente 45</t>
  </si>
  <si>
    <t>2124294</t>
  </si>
  <si>
    <t>Edson Rogerio Da Silva</t>
  </si>
  <si>
    <t>Dente 11, Dente 12, Dente 21</t>
  </si>
  <si>
    <t>Dente 16, Dente 23</t>
  </si>
  <si>
    <t>2138815</t>
  </si>
  <si>
    <t>Francisca Hosana De Oliveira</t>
  </si>
  <si>
    <t>2107595</t>
  </si>
  <si>
    <t>Caroline Mello Da Silva</t>
  </si>
  <si>
    <t>2119369</t>
  </si>
  <si>
    <t>MANUTENÇÃO DE OVERDENTURE</t>
  </si>
  <si>
    <t>2108833</t>
  </si>
  <si>
    <t>Paulo Sergio Vieira Ribeiro</t>
  </si>
  <si>
    <t>Dente 22, Dente 25</t>
  </si>
  <si>
    <t>2138737</t>
  </si>
  <si>
    <t>Thaina Karoline Fernandes Miranda</t>
  </si>
  <si>
    <t>2109676</t>
  </si>
  <si>
    <t>Jane Pistilli</t>
  </si>
  <si>
    <t>2123178</t>
  </si>
  <si>
    <t>2124813</t>
  </si>
  <si>
    <t>Lucilene Nardes De Paulo</t>
  </si>
  <si>
    <t>2124138</t>
  </si>
  <si>
    <t>2113069</t>
  </si>
  <si>
    <t>2115593</t>
  </si>
  <si>
    <t>Fabiano Augusto Gomes De Moraes Filho</t>
  </si>
  <si>
    <t>2109127</t>
  </si>
  <si>
    <t>2115629</t>
  </si>
  <si>
    <t>César Edgar</t>
  </si>
  <si>
    <t>2117439</t>
  </si>
  <si>
    <t>Aparecida Fabia Roza Bazzo</t>
  </si>
  <si>
    <t>Dente 11, Dente 47</t>
  </si>
  <si>
    <t>2118980</t>
  </si>
  <si>
    <t>Valdemar Leao Neves</t>
  </si>
  <si>
    <t>2138517</t>
  </si>
  <si>
    <t>Francine Talita Fernandes</t>
  </si>
  <si>
    <t>2137602</t>
  </si>
  <si>
    <t>Luis Carlos Bergamo</t>
  </si>
  <si>
    <t>2119875</t>
  </si>
  <si>
    <t>Sivaneide Bela Da Silva França</t>
  </si>
  <si>
    <t>Dente 14, Dente 16, Dente 36</t>
  </si>
  <si>
    <t>2132938</t>
  </si>
  <si>
    <t>Luciana Gonçalves De Brito</t>
  </si>
  <si>
    <t>2131310</t>
  </si>
  <si>
    <t>Alex Miller Schuengue Soares</t>
  </si>
  <si>
    <t>2138214</t>
  </si>
  <si>
    <t>Maria Rita De Cássia</t>
  </si>
  <si>
    <t>2131341</t>
  </si>
  <si>
    <t>Eliseu Alves Dos Santos</t>
  </si>
  <si>
    <t>2124378</t>
  </si>
  <si>
    <t>Estela Maris Costa De Macedo</t>
  </si>
  <si>
    <t>2121827</t>
  </si>
  <si>
    <t>Sthanley Marley Alexandrino</t>
  </si>
  <si>
    <t>2131590</t>
  </si>
  <si>
    <t>Giovanne Gabriel Ramos Andre</t>
  </si>
  <si>
    <t>2118967</t>
  </si>
  <si>
    <t>Edilene Santos De Oliveira Leão</t>
  </si>
  <si>
    <t>2119213</t>
  </si>
  <si>
    <t>Emerson José De Oliveira</t>
  </si>
  <si>
    <t>2126122</t>
  </si>
  <si>
    <t>Raquel Gomes</t>
  </si>
  <si>
    <t>2114701</t>
  </si>
  <si>
    <t>Elisabeth Farias Pereira De Rossi</t>
  </si>
  <si>
    <t>2139765</t>
  </si>
  <si>
    <t>2141539</t>
  </si>
  <si>
    <t>Ivanildo Gonçalves Lagoinha</t>
  </si>
  <si>
    <t>2127108</t>
  </si>
  <si>
    <t>2109663</t>
  </si>
  <si>
    <t>Nathan Nascimento Ribeiro</t>
  </si>
  <si>
    <t>2130174</t>
  </si>
  <si>
    <t>Felipe De Almeida Sartori</t>
  </si>
  <si>
    <t>2137437</t>
  </si>
  <si>
    <t>Luiz Carlos Leite</t>
  </si>
  <si>
    <t>2108061</t>
  </si>
  <si>
    <t>Edcarlos De Souza Pereira</t>
  </si>
  <si>
    <t>2136145</t>
  </si>
  <si>
    <t>João Miguel Candido De Souza</t>
  </si>
  <si>
    <t>Dente 26, Dente 37, Dente 47</t>
  </si>
  <si>
    <t>2109704</t>
  </si>
  <si>
    <t>Ivaldo Sampaio Maciel</t>
  </si>
  <si>
    <t>2120257</t>
  </si>
  <si>
    <t>Eloiza Aparecida Carvalho Cunha</t>
  </si>
  <si>
    <t>2119980</t>
  </si>
  <si>
    <t>Cilene Aparecida De Moraes</t>
  </si>
  <si>
    <t>2117489</t>
  </si>
  <si>
    <t>Aristoleles Valdemberes Souza De Andrade</t>
  </si>
  <si>
    <t>2108091</t>
  </si>
  <si>
    <t>Sarah Lis Barbosa Da Silva</t>
  </si>
  <si>
    <t>2138738</t>
  </si>
  <si>
    <t>2136930</t>
  </si>
  <si>
    <t>Paloma Cristina Gonçalves Martin</t>
  </si>
  <si>
    <t>Dente 27, Dente 36, Dente 38, Dente 46, Dente 48</t>
  </si>
  <si>
    <t>2115818</t>
  </si>
  <si>
    <t>Elaine Aparecida Gobbo Monteiro Gil</t>
  </si>
  <si>
    <t>2136983</t>
  </si>
  <si>
    <t>Lucas Nascimento Prates</t>
  </si>
  <si>
    <t>Dente 16, Dente 26, Dente 36, Dente 47</t>
  </si>
  <si>
    <t>2118662</t>
  </si>
  <si>
    <t>2135624</t>
  </si>
  <si>
    <t>James Willian Custódio De Carvalho</t>
  </si>
  <si>
    <t>2133931</t>
  </si>
  <si>
    <t>Rafaela Barbosa Mariano</t>
  </si>
  <si>
    <t>2109161</t>
  </si>
  <si>
    <t>2122957</t>
  </si>
  <si>
    <t>Marcia Leticia De A. Matos</t>
  </si>
  <si>
    <t>2118724</t>
  </si>
  <si>
    <t>Gustavo Cabral Carneiro Da Silva</t>
  </si>
  <si>
    <t>2129281</t>
  </si>
  <si>
    <t>Gabrielle Pereira Da Silva</t>
  </si>
  <si>
    <t>2117808</t>
  </si>
  <si>
    <t>Bruno Valdir Ap. Rodrigues Ferreira</t>
  </si>
  <si>
    <t>2137824</t>
  </si>
  <si>
    <t>Marcos Roberto Da Silva</t>
  </si>
  <si>
    <t>2138960</t>
  </si>
  <si>
    <t>Valdecir Rodrigues Dos Santos</t>
  </si>
  <si>
    <t>2133085</t>
  </si>
  <si>
    <t>Daniela Thais Souza Marques</t>
  </si>
  <si>
    <t>Dente 11, Dente 12, Dente 21, Dente 22, Dente 23</t>
  </si>
  <si>
    <t>2128531</t>
  </si>
  <si>
    <t>Natalia Borges Faustino</t>
  </si>
  <si>
    <t>2127178</t>
  </si>
  <si>
    <t>Nadieska</t>
  </si>
  <si>
    <t>2111979</t>
  </si>
  <si>
    <t>Andressa Lluara Rodrigues Maia</t>
  </si>
  <si>
    <t>2120908</t>
  </si>
  <si>
    <t>Rubens Domingos Silva Passos</t>
  </si>
  <si>
    <t>2138653</t>
  </si>
  <si>
    <t>Maria Beatriz Bernardinho Antas</t>
  </si>
  <si>
    <t>Decíduo 74</t>
  </si>
  <si>
    <t>Decíduo 55, Decíduo 65, Decíduo 74, Decíduo 75</t>
  </si>
  <si>
    <t>2129194</t>
  </si>
  <si>
    <t>Simily Alves Rodrigues</t>
  </si>
  <si>
    <t>2132514</t>
  </si>
  <si>
    <t>Luiz Felipe Machado</t>
  </si>
  <si>
    <t>2108483</t>
  </si>
  <si>
    <t>Wellington Gomes De Paula</t>
  </si>
  <si>
    <t>2126931</t>
  </si>
  <si>
    <t>Jose Guedes Da Silva Junior</t>
  </si>
  <si>
    <t>Dente 21, Dente 22, Dente 34, Dente 35, Dente 43, Dente 44, Dente 45, Dente 46</t>
  </si>
  <si>
    <t>2131960</t>
  </si>
  <si>
    <t>Michael Russan Urbano De Campos</t>
  </si>
  <si>
    <t>2124223</t>
  </si>
  <si>
    <t>Rogerio Aparecido De Almeida</t>
  </si>
  <si>
    <t>2137095</t>
  </si>
  <si>
    <t>Samuel Lucca Custódio De Oliveira</t>
  </si>
  <si>
    <t>2115919</t>
  </si>
  <si>
    <t>Fernanda Amaro</t>
  </si>
  <si>
    <t>2119949</t>
  </si>
  <si>
    <t>Irene Figueiredo</t>
  </si>
  <si>
    <t>Dente 16, Dente 24, Dente 35, Dente 44, Dente 45</t>
  </si>
  <si>
    <t>2124305</t>
  </si>
  <si>
    <t>Rosa Fernandes</t>
  </si>
  <si>
    <t>2119836</t>
  </si>
  <si>
    <t>Valverandes Rodrigues Da Silva</t>
  </si>
  <si>
    <t>2117895</t>
  </si>
  <si>
    <t>Erica Cristina Ferreira</t>
  </si>
  <si>
    <t>2118838</t>
  </si>
  <si>
    <t>2123306</t>
  </si>
  <si>
    <t>Megui Messais Dos Santos</t>
  </si>
  <si>
    <t>2120290</t>
  </si>
  <si>
    <t>Marcello Vilano</t>
  </si>
  <si>
    <t>Dente 24, Dente 25, Dente 35, Dente 45</t>
  </si>
  <si>
    <t>2131303</t>
  </si>
  <si>
    <t>2111096</t>
  </si>
  <si>
    <t>Christiane Gaya Ribeiro</t>
  </si>
  <si>
    <t>2139622</t>
  </si>
  <si>
    <t>Onivaldo Barbosa</t>
  </si>
  <si>
    <t>2112277</t>
  </si>
  <si>
    <t>Dente 11, Dente 12, Dente 15, Dente 17</t>
  </si>
  <si>
    <t>2121628</t>
  </si>
  <si>
    <t>Jennefer Cristini Silva</t>
  </si>
  <si>
    <t>2109785</t>
  </si>
  <si>
    <t>Fabiana Regina Lopes Stockler</t>
  </si>
  <si>
    <t>Dente 23, Dente 34</t>
  </si>
  <si>
    <t>2109164</t>
  </si>
  <si>
    <t>Gislaine Estefani</t>
  </si>
  <si>
    <t>Dente 24, Dente 25</t>
  </si>
  <si>
    <t>2130728</t>
  </si>
  <si>
    <t>Maria Do Carmo</t>
  </si>
  <si>
    <t>Dente 11, Dente 14, Dente 44</t>
  </si>
  <si>
    <t>2122804</t>
  </si>
  <si>
    <t>2139299</t>
  </si>
  <si>
    <t>Creuza Gomes De Oliveira</t>
  </si>
  <si>
    <t>2133702</t>
  </si>
  <si>
    <t>Antonio Carlos Da Silva</t>
  </si>
  <si>
    <t>2127474</t>
  </si>
  <si>
    <t>Maria Dos Santos Fernandes</t>
  </si>
  <si>
    <t>2123143</t>
  </si>
  <si>
    <t>Igor Marcos De Souza</t>
  </si>
  <si>
    <t>2117574</t>
  </si>
  <si>
    <t>Gabriele Aparecida Dias Anjos</t>
  </si>
  <si>
    <t>2126607</t>
  </si>
  <si>
    <t>Mariely Borges Carvalho</t>
  </si>
  <si>
    <t>2112032</t>
  </si>
  <si>
    <t>Luis Carlos Lima Silva</t>
  </si>
  <si>
    <t>2112118</t>
  </si>
  <si>
    <t>2119446</t>
  </si>
  <si>
    <t>Diego Alves De Sousa</t>
  </si>
  <si>
    <t>2119070</t>
  </si>
  <si>
    <t>Ventuil Ferreira Barbosa</t>
  </si>
  <si>
    <t>2112108</t>
  </si>
  <si>
    <t>Jeniffer Rafaela Gaspar Notare</t>
  </si>
  <si>
    <t>2119793</t>
  </si>
  <si>
    <t>Katelyn Hellen Da Silva Sousa</t>
  </si>
  <si>
    <t>2122454</t>
  </si>
  <si>
    <t>Íkaro Hebert De Oliveira</t>
  </si>
  <si>
    <t>Dente 22, Dente 46</t>
  </si>
  <si>
    <t>2118113</t>
  </si>
  <si>
    <t>2107392</t>
  </si>
  <si>
    <t>Ana Karla Dos Santos Lemes</t>
  </si>
  <si>
    <t>2121529</t>
  </si>
  <si>
    <t>Bianca Ferreira Santos</t>
  </si>
  <si>
    <t>2124803</t>
  </si>
  <si>
    <t>Maria Clara Nardes Moreira De Matos</t>
  </si>
  <si>
    <t>2108388</t>
  </si>
  <si>
    <t>Fernanda Estefani Duarte</t>
  </si>
  <si>
    <t>2138454</t>
  </si>
  <si>
    <t>Roberto Minuci</t>
  </si>
  <si>
    <t>Dente 41, Dente 44</t>
  </si>
  <si>
    <t>2107663</t>
  </si>
  <si>
    <t>Gislaine Oliveira</t>
  </si>
  <si>
    <t>2117648</t>
  </si>
  <si>
    <t>Isabela Dos Santos Vierira</t>
  </si>
  <si>
    <t>2108162</t>
  </si>
  <si>
    <t>Pedro Nascimento Alexandre</t>
  </si>
  <si>
    <t>2139947</t>
  </si>
  <si>
    <t>Ricardo Marques Marcondes De Souza</t>
  </si>
  <si>
    <t>2137314</t>
  </si>
  <si>
    <t>Cassiana Menezes Santos</t>
  </si>
  <si>
    <t>2135775</t>
  </si>
  <si>
    <t>Bruna Panebianchi Tavares</t>
  </si>
  <si>
    <t>2126951</t>
  </si>
  <si>
    <t>Jonas Saquette</t>
  </si>
  <si>
    <t>2122939</t>
  </si>
  <si>
    <t>Halanna Costa Oliveira Santos</t>
  </si>
  <si>
    <t>2117660</t>
  </si>
  <si>
    <t>Dennis Toshi Neves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</si>
</sst>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R$ -416]#,##0.00"/>
  </numFmts>
  <fonts count="6">
    <font>
      <sz val="10.0"/>
      <color rgb="FF000000"/>
      <name val="Calibri"/>
      <scheme val="minor"/>
    </font>
    <font>
      <b/>
      <color theme="1"/>
      <name val="Calibri"/>
      <scheme val="minor"/>
    </font>
    <font>
      <color theme="1"/>
      <name val="Calibri"/>
      <scheme val="minor"/>
    </font>
    <font>
      <color rgb="FFFF0000"/>
      <name val="Calibri"/>
      <scheme val="minor"/>
    </font>
    <font>
      <b/>
      <sz val="12.0"/>
      <color theme="1"/>
      <name val="Calibri"/>
    </font>
    <font>
      <sz val="12.0"/>
      <color theme="1"/>
      <name val="Calibri"/>
    </font>
  </fonts>
  <fills count="5">
    <fill>
      <patternFill patternType="none"/>
    </fill>
    <fill>
      <patternFill patternType="lightGray"/>
    </fill>
    <fill>
      <patternFill patternType="solid">
        <fgColor rgb="FF0000FF"/>
        <bgColor rgb="FF0000FF"/>
      </patternFill>
    </fill>
    <fill>
      <patternFill patternType="solid">
        <fgColor rgb="FF00FF00"/>
        <bgColor rgb="FF00FF00"/>
      </patternFill>
    </fill>
    <fill>
      <patternFill patternType="solid">
        <fgColor rgb="FFFFFF00"/>
        <bgColor rgb="FFFFFF00"/>
      </patternFill>
    </fill>
  </fills>
  <borders count="1">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0" xfId="0" applyAlignment="1" applyFont="1" applyNumberFormat="1">
      <alignment readingOrder="0" shrinkToFit="0" vertical="center" wrapText="0"/>
    </xf>
    <xf borderId="0" fillId="0" fontId="2" numFmtId="164" xfId="0" applyAlignment="1" applyFont="1" applyNumberFormat="1">
      <alignment shrinkToFit="0" vertical="center" wrapText="0"/>
    </xf>
    <xf borderId="0" fillId="0" fontId="2" numFmtId="0" xfId="0" applyAlignment="1" applyFont="1">
      <alignment horizontal="left" shrinkToFit="0" vertical="center" wrapText="0"/>
    </xf>
    <xf borderId="0" fillId="0" fontId="2" numFmtId="0" xfId="0" applyAlignment="1" applyFont="1">
      <alignment horizontal="left" readingOrder="0" shrinkToFit="0" vertical="center" wrapText="0"/>
    </xf>
    <xf borderId="0" fillId="2" fontId="3" numFmtId="0" xfId="0" applyAlignment="1" applyFill="1" applyFont="1">
      <alignment readingOrder="0" shrinkToFit="0" vertical="center" wrapText="0"/>
    </xf>
    <xf borderId="0" fillId="2" fontId="3" numFmtId="0" xfId="0" applyAlignment="1" applyFont="1">
      <alignment shrinkToFit="0" vertical="center" wrapText="0"/>
    </xf>
    <xf borderId="0" fillId="2" fontId="3" numFmtId="0" xfId="0" applyAlignment="1" applyFont="1">
      <alignment readingOrder="0" shrinkToFit="0" vertical="center" wrapText="0"/>
    </xf>
    <xf borderId="0" fillId="2" fontId="3" numFmtId="164" xfId="0" applyAlignment="1" applyFont="1" applyNumberFormat="1">
      <alignment readingOrder="0" shrinkToFit="0" vertical="center" wrapText="0"/>
    </xf>
    <xf borderId="0" fillId="2" fontId="3" numFmtId="10" xfId="0" applyAlignment="1" applyFont="1" applyNumberFormat="1">
      <alignment readingOrder="0" shrinkToFit="0" vertical="center" wrapText="0"/>
    </xf>
    <xf borderId="0" fillId="2" fontId="3" numFmtId="164" xfId="0" applyAlignment="1" applyFont="1" applyNumberFormat="1">
      <alignment shrinkToFit="0" vertical="center" wrapText="0"/>
    </xf>
    <xf borderId="0" fillId="3" fontId="1" numFmtId="0" xfId="0" applyAlignment="1" applyFill="1" applyFont="1">
      <alignment readingOrder="0" shrinkToFit="0" vertical="center" wrapText="0"/>
    </xf>
    <xf borderId="0" fillId="3" fontId="2" numFmtId="164" xfId="0" applyAlignment="1" applyFont="1" applyNumberFormat="1">
      <alignment shrinkToFit="0" vertical="center" wrapText="0"/>
    </xf>
    <xf borderId="0" fillId="4" fontId="2" numFmtId="49" xfId="0" applyAlignment="1" applyFill="1" applyFont="1" applyNumberFormat="1">
      <alignment readingOrder="0" shrinkToFit="0" vertical="center" wrapText="0"/>
    </xf>
    <xf borderId="0" fillId="4" fontId="2" numFmtId="164" xfId="0" applyAlignment="1" applyFont="1" applyNumberFormat="1">
      <alignment shrinkToFit="0" vertical="center" wrapText="0"/>
    </xf>
    <xf borderId="0" fillId="0" fontId="2" numFmtId="10" xfId="0" applyAlignment="1" applyFont="1" applyNumberFormat="1">
      <alignment shrinkToFit="0" vertical="center" wrapText="0"/>
    </xf>
    <xf borderId="0" fillId="0" fontId="2" numFmtId="0" xfId="0" applyAlignment="1" applyFont="1">
      <alignment horizontal="left" readingOrder="0" shrinkToFit="0" vertical="center" wrapText="0"/>
    </xf>
    <xf borderId="0" fillId="3" fontId="3" numFmtId="0" xfId="0" applyAlignment="1" applyFont="1">
      <alignment readingOrder="0" shrinkToFit="0" vertical="center" wrapText="0"/>
    </xf>
    <xf borderId="0" fillId="3" fontId="3" numFmtId="0" xfId="0" applyAlignment="1" applyFont="1">
      <alignment shrinkToFit="0" vertical="center" wrapText="0"/>
    </xf>
    <xf borderId="0" fillId="3" fontId="3" numFmtId="0" xfId="0" applyAlignment="1" applyFont="1">
      <alignment readingOrder="0" shrinkToFit="0" vertical="center" wrapText="0"/>
    </xf>
    <xf borderId="0" fillId="3" fontId="3" numFmtId="164" xfId="0" applyAlignment="1" applyFont="1" applyNumberFormat="1">
      <alignment readingOrder="0" shrinkToFit="0" vertical="center" wrapText="0"/>
    </xf>
    <xf borderId="0" fillId="3" fontId="3" numFmtId="10" xfId="0" applyAlignment="1" applyFont="1" applyNumberFormat="1">
      <alignment readingOrder="0" shrinkToFit="0" vertical="center" wrapText="0"/>
    </xf>
    <xf borderId="0" fillId="3" fontId="3" numFmtId="164" xfId="0" applyAlignment="1" applyFont="1" applyNumberFormat="1">
      <alignment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2" numFmtId="49" xfId="0" applyAlignment="1" applyFont="1" applyNumberFormat="1">
      <alignment readingOrder="0" shrinkToFit="0" vertical="center" wrapText="0"/>
    </xf>
    <xf borderId="0" fillId="0" fontId="4" numFmtId="0" xfId="0" applyAlignment="1" applyFont="1">
      <alignment horizontal="center" readingOrder="0" shrinkToFit="0" vertical="top" wrapText="0"/>
    </xf>
    <xf borderId="0" fillId="0" fontId="5" numFmtId="0" xfId="0" applyAlignment="1" applyFont="1">
      <alignment horizontal="right" shrinkToFit="0" vertical="bottom" wrapText="0"/>
    </xf>
    <xf borderId="0" fillId="0" fontId="5" numFmtId="0" xfId="0" applyAlignment="1" applyFont="1">
      <alignment shrinkToFit="0" vertical="bottom" wrapText="0"/>
    </xf>
    <xf borderId="0" fillId="0" fontId="5" numFmtId="0" xfId="0" applyAlignment="1" applyFont="1">
      <alignment readingOrder="0" shrinkToFit="0" vertical="bottom" wrapText="0"/>
    </xf>
    <xf borderId="0" fillId="0" fontId="5" numFmtId="164" xfId="0" applyAlignment="1" applyFont="1" applyNumberFormat="1">
      <alignment readingOrder="0" shrinkToFit="0" vertical="bottom" wrapText="0"/>
    </xf>
    <xf borderId="0" fillId="3" fontId="1" numFmtId="164" xfId="0" applyAlignment="1" applyFont="1" applyNumberFormat="1">
      <alignment readingOrder="0" shrinkToFit="0" vertical="center" wrapText="0"/>
    </xf>
    <xf borderId="0" fillId="0" fontId="2" numFmtId="0" xfId="0" applyAlignment="1" applyFont="1">
      <alignment horizontal="lef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8">
    <tableStyle count="4" pivot="0" name="012025-style">
      <tableStyleElement dxfId="1" type="headerRow"/>
      <tableStyleElement dxfId="2" type="firstRowStripe"/>
      <tableStyleElement dxfId="3" type="secondRowStripe"/>
      <tableStyleElement dxfId="4" size="0" type="wholeTable"/>
    </tableStyle>
    <tableStyle count="4" pivot="0" name="022025-style">
      <tableStyleElement dxfId="1" type="headerRow"/>
      <tableStyleElement dxfId="2" type="firstRowStripe"/>
      <tableStyleElement dxfId="3" type="secondRowStripe"/>
      <tableStyleElement dxfId="4" size="0" type="wholeTable"/>
    </tableStyle>
    <tableStyle count="4" pivot="0" name="032025-style">
      <tableStyleElement dxfId="1" type="headerRow"/>
      <tableStyleElement dxfId="2" type="firstRowStripe"/>
      <tableStyleElement dxfId="3" type="secondRowStripe"/>
      <tableStyleElement dxfId="4" size="0" type="wholeTable"/>
    </tableStyle>
    <tableStyle count="4" pivot="0" name="042025-style">
      <tableStyleElement dxfId="1" type="headerRow"/>
      <tableStyleElement dxfId="2" type="firstRowStripe"/>
      <tableStyleElement dxfId="3" type="secondRowStripe"/>
      <tableStyleElement dxfId="4" size="0" type="wholeTable"/>
    </tableStyle>
    <tableStyle count="4" pivot="0" name="052025-style">
      <tableStyleElement dxfId="1" type="headerRow"/>
      <tableStyleElement dxfId="2" type="firstRowStripe"/>
      <tableStyleElement dxfId="3" type="secondRowStripe"/>
      <tableStyleElement dxfId="4" size="0" type="wholeTable"/>
    </tableStyle>
    <tableStyle count="4" pivot="0" name="062025-style">
      <tableStyleElement dxfId="1" type="headerRow"/>
      <tableStyleElement dxfId="2" type="firstRowStripe"/>
      <tableStyleElement dxfId="3" type="secondRowStripe"/>
      <tableStyleElement dxfId="4" size="0" type="wholeTable"/>
    </tableStyle>
    <tableStyle count="4" pivot="0" name="072025-style">
      <tableStyleElement dxfId="1" type="headerRow"/>
      <tableStyleElement dxfId="2" type="firstRowStripe"/>
      <tableStyleElement dxfId="3" type="secondRowStripe"/>
      <tableStyleElement dxfId="4" size="0" type="wholeTable"/>
    </tableStyle>
    <tableStyle count="4" pivot="0" name="Página4-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Yuri Marcato" id="{6191f0a1-79f8-4d6c-8a18-cc972d6e1a74}" providerId="google-sheets"/>
</x18tc:personList>
</file>

<file path=xl/tables/table1.xml><?xml version="1.0" encoding="utf-8"?>
<table xmlns="http://schemas.openxmlformats.org/spreadsheetml/2006/main" ref="A1:AB997" displayName="Janeiro" name="Janeiro" id="1">
  <autoFilter ref="$A$1:$AB$997">
    <filterColumn colId="4">
      <customFilters>
        <customFilter operator="greaterThan" val="1,000.00"/>
      </customFilters>
    </filterColumn>
  </autoFilter>
  <tableColumns count="28">
    <tableColumn name="orçamento" id="1"/>
    <tableColumn name="cliente" id="2"/>
    <tableColumn name="telefone" id="3"/>
    <tableColumn name="dentista" id="4"/>
    <tableColumn name="valor bruto" id="5"/>
    <tableColumn name="desconto" id="6"/>
    <tableColumn name="valor final" id="7"/>
    <tableColumn name="Tratamento_1" id="8"/>
    <tableColumn name="Dentes/Arcada_1" id="9"/>
    <tableColumn name="Quantidade_1" id="10"/>
    <tableColumn name="Tratamento_2" id="11"/>
    <tableColumn name="Dentes/Arcada_2" id="12"/>
    <tableColumn name="Quantidade_2" id="13"/>
    <tableColumn name="Tratamento_3" id="14"/>
    <tableColumn name="Dentes/Arcada_3" id="15"/>
    <tableColumn name="Quantidade_3" id="16"/>
    <tableColumn name="Tratamento_4" id="17"/>
    <tableColumn name="Dentes/Arcada_4" id="18"/>
    <tableColumn name="Quantidade_4" id="19"/>
    <tableColumn name="Tratamento_5" id="20"/>
    <tableColumn name="Dentes/Arcada_5" id="21"/>
    <tableColumn name="Quantidade_5" id="22"/>
    <tableColumn name="Tratamento_6" id="23"/>
    <tableColumn name="Dentes/Arcada_6" id="24"/>
    <tableColumn name="Quantidade_6" id="25"/>
    <tableColumn name="Tratamento_7" id="26"/>
    <tableColumn name="Dentes/Arcada_7" id="27"/>
    <tableColumn name="Quantidade_7" id="28"/>
  </tableColumns>
  <tableStyleInfo name="012025-style" showColumnStripes="0" showFirstColumn="1" showLastColumn="1" showRowStripes="1"/>
</table>
</file>

<file path=xl/tables/table2.xml><?xml version="1.0" encoding="utf-8"?>
<table xmlns="http://schemas.openxmlformats.org/spreadsheetml/2006/main" ref="A1:Z79" displayName="Tabela_1" name="Tabela_1" id="2">
  <tableColumns count="26">
    <tableColumn name="orçamento" id="1"/>
    <tableColumn name="cliente" id="2"/>
    <tableColumn name="telefone" id="3"/>
    <tableColumn name="dentista" id="4"/>
    <tableColumn name="valor bruto" id="5"/>
    <tableColumn name="desconto" id="6"/>
    <tableColumn name="valor final" id="7"/>
    <tableColumn name="Tratamento_1" id="8"/>
    <tableColumn name="Dentes/Arcada_1" id="9"/>
    <tableColumn name="Quantidade_1" id="10"/>
    <tableColumn name="Tratamento_2" id="11"/>
    <tableColumn name="Dentes/Arcada_2" id="12"/>
    <tableColumn name="Quantidade_2" id="13"/>
    <tableColumn name="Tratamento_3" id="14"/>
    <tableColumn name="Dentes/Arcada_3" id="15"/>
    <tableColumn name="Quantidade_3" id="16"/>
    <tableColumn name="Tratamento_4" id="17"/>
    <tableColumn name="Dentes/Arcada_4" id="18"/>
    <tableColumn name="Quantidade_4" id="19"/>
    <tableColumn name="Tratamento_5" id="20"/>
    <tableColumn name="Dentes/Arcada_5" id="21"/>
    <tableColumn name="Quantidade_5" id="22"/>
    <tableColumn name="Tratamento_6" id="23"/>
    <tableColumn name="Dentes/Arcada_6" id="24"/>
    <tableColumn name="Quantidade_6" id="25"/>
    <tableColumn name="Coluna 1" id="26"/>
  </tableColumns>
  <tableStyleInfo name="022025-style" showColumnStripes="0" showFirstColumn="1" showLastColumn="1" showRowStripes="1"/>
</table>
</file>

<file path=xl/tables/table3.xml><?xml version="1.0" encoding="utf-8"?>
<table xmlns="http://schemas.openxmlformats.org/spreadsheetml/2006/main" ref="A1:AE67" displayName="Tabela_2" name="Tabela_2" id="3">
  <tableColumns count="31">
    <tableColumn name="orçamento" id="1"/>
    <tableColumn name="cliente" id="2"/>
    <tableColumn name="telefone" id="3"/>
    <tableColumn name="dentista" id="4"/>
    <tableColumn name="valor bruto" id="5"/>
    <tableColumn name="desconto" id="6"/>
    <tableColumn name="valor final" id="7"/>
    <tableColumn name="Tratamento_1" id="8"/>
    <tableColumn name="Dentes/Arcada_1" id="9"/>
    <tableColumn name="Quantidade_1" id="10"/>
    <tableColumn name="Tratamento_2" id="11"/>
    <tableColumn name="Dentes/Arcada_2" id="12"/>
    <tableColumn name="Quantidade_2" id="13"/>
    <tableColumn name="Tratamento_3" id="14"/>
    <tableColumn name="Dentes/Arcada_3" id="15"/>
    <tableColumn name="Quantidade_3" id="16"/>
    <tableColumn name="Tratamento_4" id="17"/>
    <tableColumn name="Dentes/Arcada_4" id="18"/>
    <tableColumn name="Quantidade_4" id="19"/>
    <tableColumn name="Tratamento_5" id="20"/>
    <tableColumn name="Dentes/Arcada_5" id="21"/>
    <tableColumn name="Quantidade_5" id="22"/>
    <tableColumn name="Tratamento_6" id="23"/>
    <tableColumn name="Dentes/Arcada_6" id="24"/>
    <tableColumn name="Quantidade_6" id="25"/>
    <tableColumn name="Tratamento_7" id="26"/>
    <tableColumn name="Dentes/Arcada_7" id="27"/>
    <tableColumn name="Quantidade_7" id="28"/>
    <tableColumn name="Tratamento_8" id="29"/>
    <tableColumn name="Dentes/Arcada_8" id="30"/>
    <tableColumn name="Quantidade_8" id="31"/>
  </tableColumns>
  <tableStyleInfo name="032025-style" showColumnStripes="0" showFirstColumn="1" showLastColumn="1" showRowStripes="1"/>
</table>
</file>

<file path=xl/tables/table4.xml><?xml version="1.0" encoding="utf-8"?>
<table xmlns="http://schemas.openxmlformats.org/spreadsheetml/2006/main" ref="A1:AB54" displayName="Tabela_3" name="Tabela_3" id="4">
  <tableColumns count="28">
    <tableColumn name="orçamento" id="1"/>
    <tableColumn name="cliente" id="2"/>
    <tableColumn name="telefone" id="3"/>
    <tableColumn name="dentista" id="4"/>
    <tableColumn name="valor bruto" id="5"/>
    <tableColumn name="desconto" id="6"/>
    <tableColumn name="valor final" id="7"/>
    <tableColumn name="Tratamento_1" id="8"/>
    <tableColumn name="Dentes/Arcada_1" id="9"/>
    <tableColumn name="Quantidade_1" id="10"/>
    <tableColumn name="Tratamento_2" id="11"/>
    <tableColumn name="Dentes/Arcada_2" id="12"/>
    <tableColumn name="Quantidade_2" id="13"/>
    <tableColumn name="Tratamento_3" id="14"/>
    <tableColumn name="Dentes/Arcada_3" id="15"/>
    <tableColumn name="Quantidade_3" id="16"/>
    <tableColumn name="Tratamento_4" id="17"/>
    <tableColumn name="Dentes/Arcada_4" id="18"/>
    <tableColumn name="Quantidade_4" id="19"/>
    <tableColumn name="Tratamento_5" id="20"/>
    <tableColumn name="Dentes/Arcada_5" id="21"/>
    <tableColumn name="Quantidade_5" id="22"/>
    <tableColumn name="Tratamento_6" id="23"/>
    <tableColumn name="Dentes/Arcada_6" id="24"/>
    <tableColumn name="Quantidade_6" id="25"/>
    <tableColumn name="Tratamento_7" id="26"/>
    <tableColumn name="Dentes/Arcada_7" id="27"/>
    <tableColumn name="Quantidade_7" id="28"/>
  </tableColumns>
  <tableStyleInfo name="042025-style" showColumnStripes="0" showFirstColumn="1" showLastColumn="1" showRowStripes="1"/>
</table>
</file>

<file path=xl/tables/table5.xml><?xml version="1.0" encoding="utf-8"?>
<table xmlns="http://schemas.openxmlformats.org/spreadsheetml/2006/main" ref="A1:AH72" displayName="Tabela_4" name="Tabela_4" id="5">
  <autoFilter ref="$A$1:$AH$72"/>
  <tableColumns count="34">
    <tableColumn name="orçamento" id="1"/>
    <tableColumn name="cliente" id="2"/>
    <tableColumn name="telefone" id="3"/>
    <tableColumn name="dentista" id="4"/>
    <tableColumn name="valor bruto" id="5"/>
    <tableColumn name="desconto" id="6"/>
    <tableColumn name="valor final" id="7"/>
    <tableColumn name="Tratamento_1" id="8"/>
    <tableColumn name="Dentes/Arcada_1" id="9"/>
    <tableColumn name="Quantidade_1" id="10"/>
    <tableColumn name="Tratamento_2" id="11"/>
    <tableColumn name="Dentes/Arcada_2" id="12"/>
    <tableColumn name="Quantidade_2" id="13"/>
    <tableColumn name="Tratamento_3" id="14"/>
    <tableColumn name="Dentes/Arcada_3" id="15"/>
    <tableColumn name="Quantidade_3" id="16"/>
    <tableColumn name="Tratamento_4" id="17"/>
    <tableColumn name="Dentes/Arcada_4" id="18"/>
    <tableColumn name="Quantidade_4" id="19"/>
    <tableColumn name="Tratamento_5" id="20"/>
    <tableColumn name="Dentes/Arcada_5" id="21"/>
    <tableColumn name="Quantidade_5" id="22"/>
    <tableColumn name="Tratamento_6" id="23"/>
    <tableColumn name="Dentes/Arcada_6" id="24"/>
    <tableColumn name="Quantidade_6" id="25"/>
    <tableColumn name="Tratamento_7" id="26"/>
    <tableColumn name="Dentes/Arcada_7" id="27"/>
    <tableColumn name="Quantidade_7" id="28"/>
    <tableColumn name="Tratamento_8" id="29"/>
    <tableColumn name="Dentes/Arcada_8" id="30"/>
    <tableColumn name="Quantidade_8" id="31"/>
    <tableColumn name="Tratamento_9" id="32"/>
    <tableColumn name="Dentes/Arcada_9" id="33"/>
    <tableColumn name="Quantidade_9" id="34"/>
  </tableColumns>
  <tableStyleInfo name="052025-style" showColumnStripes="0" showFirstColumn="1" showLastColumn="1" showRowStripes="1"/>
</table>
</file>

<file path=xl/tables/table6.xml><?xml version="1.0" encoding="utf-8"?>
<table xmlns="http://schemas.openxmlformats.org/spreadsheetml/2006/main" ref="A1:Z98" displayName="Tabela_5" name="Tabela_5" id="6">
  <tableColumns count="26">
    <tableColumn name="orçamento" id="1"/>
    <tableColumn name="cliente" id="2"/>
    <tableColumn name="telefone" id="3"/>
    <tableColumn name="dentista" id="4"/>
    <tableColumn name="valor bruto" id="5"/>
    <tableColumn name="desconto" id="6"/>
    <tableColumn name="valor final" id="7"/>
    <tableColumn name="Tratamento_1" id="8"/>
    <tableColumn name="Dentes/Arcada_1" id="9"/>
    <tableColumn name="Quantidade_1" id="10"/>
    <tableColumn name="Tratamento_2" id="11"/>
    <tableColumn name="Dentes/Arcada_2" id="12"/>
    <tableColumn name="Quantidade_2" id="13"/>
    <tableColumn name="Tratamento_3" id="14"/>
    <tableColumn name="Dentes/Arcada_3" id="15"/>
    <tableColumn name="Quantidade_3" id="16"/>
    <tableColumn name="Tratamento_4" id="17"/>
    <tableColumn name="Dentes/Arcada_4" id="18"/>
    <tableColumn name="Quantidade_4" id="19"/>
    <tableColumn name="Tratamento_5" id="20"/>
    <tableColumn name="Dentes/Arcada_5" id="21"/>
    <tableColumn name="Quantidade_5" id="22"/>
    <tableColumn name="Tratamento_6" id="23"/>
    <tableColumn name="Dentes/Arcada_6" id="24"/>
    <tableColumn name="Quantidade_6" id="25"/>
    <tableColumn name="Coluna 1" id="26"/>
  </tableColumns>
  <tableStyleInfo name="062025-style" showColumnStripes="0" showFirstColumn="1" showLastColumn="1" showRowStripes="1"/>
</table>
</file>

<file path=xl/tables/table7.xml><?xml version="1.0" encoding="utf-8"?>
<table xmlns="http://schemas.openxmlformats.org/spreadsheetml/2006/main" ref="A1:AE136" displayName="Tabela_6" name="Tabela_6" id="7">
  <tableColumns count="31">
    <tableColumn name="orçamento" id="1"/>
    <tableColumn name="cliente" id="2"/>
    <tableColumn name="telefone" id="3"/>
    <tableColumn name="dentista" id="4"/>
    <tableColumn name="valor bruto" id="5"/>
    <tableColumn name="desconto" id="6"/>
    <tableColumn name="valor final" id="7"/>
    <tableColumn name="Tratamento_1" id="8"/>
    <tableColumn name="Dentes/Arcada_1" id="9"/>
    <tableColumn name="Quantidade_1" id="10"/>
    <tableColumn name="Tratamento_2" id="11"/>
    <tableColumn name="Dentes/Arcada_2" id="12"/>
    <tableColumn name="Quantidade_2" id="13"/>
    <tableColumn name="Tratamento_3" id="14"/>
    <tableColumn name="Dentes/Arcada_3" id="15"/>
    <tableColumn name="Quantidade_3" id="16"/>
    <tableColumn name="Tratamento_4" id="17"/>
    <tableColumn name="Dentes/Arcada_4" id="18"/>
    <tableColumn name="Quantidade_4" id="19"/>
    <tableColumn name="Tratamento_5" id="20"/>
    <tableColumn name="Dentes/Arcada_5" id="21"/>
    <tableColumn name="Quantidade_5" id="22"/>
    <tableColumn name="Tratamento_6" id="23"/>
    <tableColumn name="Dentes/Arcada_6" id="24"/>
    <tableColumn name="Quantidade_6" id="25"/>
    <tableColumn name="Tratamento_7" id="26"/>
    <tableColumn name="Dentes/Arcada_7" id="27"/>
    <tableColumn name="Quantidade_7" id="28"/>
    <tableColumn name="Tratamento_8" id="29"/>
    <tableColumn name="Dentes/Arcada_8" id="30"/>
    <tableColumn name="Quantidade_8" id="31"/>
  </tableColumns>
  <tableStyleInfo name="072025-style" showColumnStripes="0" showFirstColumn="1" showLastColumn="1" showRowStripes="1"/>
</table>
</file>

<file path=xl/tables/table8.xml><?xml version="1.0" encoding="utf-8"?>
<table xmlns="http://schemas.openxmlformats.org/spreadsheetml/2006/main" ref="A1:AE999" displayName="Tabela_7" name="Tabela_7" id="8">
  <tableColumns count="31">
    <tableColumn name="orçamento" id="1"/>
    <tableColumn name="cliente" id="2"/>
    <tableColumn name="telefone" id="3"/>
    <tableColumn name="dentista" id="4"/>
    <tableColumn name="valor bruto" id="5"/>
    <tableColumn name="desconto" id="6"/>
    <tableColumn name="valor final" id="7"/>
    <tableColumn name="Tratamento_1" id="8"/>
    <tableColumn name="Dentes/Arcada_1" id="9"/>
    <tableColumn name="Quantidade_1" id="10"/>
    <tableColumn name="Tratamento_2" id="11"/>
    <tableColumn name="Dentes/Arcada_2" id="12"/>
    <tableColumn name="Quantidade_2" id="13"/>
    <tableColumn name="Tratamento_3" id="14"/>
    <tableColumn name="Dentes/Arcada_3" id="15"/>
    <tableColumn name="Quantidade_3" id="16"/>
    <tableColumn name="Tratamento_4" id="17"/>
    <tableColumn name="Dentes/Arcada_4" id="18"/>
    <tableColumn name="Quantidade_4" id="19"/>
    <tableColumn name="Tratamento_5" id="20"/>
    <tableColumn name="Dentes/Arcada_5" id="21"/>
    <tableColumn name="Quantidade_5" id="22"/>
    <tableColumn name="Tratamento_6" id="23"/>
    <tableColumn name="Dentes/Arcada_6" id="24"/>
    <tableColumn name="Quantidade_6" id="25"/>
    <tableColumn name="Tratamento_7" id="26"/>
    <tableColumn name="Dentes/Arcada_7" id="27"/>
    <tableColumn name="Quantidade_7" id="28"/>
    <tableColumn name="Tratamento_8" id="29"/>
    <tableColumn name="Dentes/Arcada_8" id="30"/>
    <tableColumn name="Quantidade_8" id="31"/>
  </tableColumns>
  <tableStyleInfo name="Página4-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7" dT="2025-07-31T16:48:22.00" personId="{6191f0a1-79f8-4d6c-8a18-cc972d6e1a74}" id="{6d6d89b2-0c10-45e0-969c-344e6c96125b}" done="0">
    <x18tc:text xml:space="preserve">Paciente demontrou interesse no em fazer o tratamento em Setembro para ppagamento avista com 13°. Yuri</x18tc:text>
  </x18tc:threadedComment>
  <x18tc:threadedComment ref="A49" dT="2025-07-31T20:10:24.00" personId="{6191f0a1-79f8-4d6c-8a18-cc972d6e1a74}" id="{0bf30285-0489-4021-9e5f-c524223a76d4}" done="0">
    <x18tc:text xml:space="preserve">Houve contato do disparo do repique dia 31/07/25 ficou combinado de ele dar uma respsota 
Valor oferecido: 
Entrada:R$300,00 
Parcelas:R$190,00</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5.43"/>
    <col customWidth="1" min="2" max="2" width="35.0"/>
    <col customWidth="1" min="3" max="3" width="16.71"/>
    <col customWidth="1" min="4" max="4" width="38.71"/>
    <col customWidth="1" min="5" max="5" width="19.29"/>
    <col customWidth="1" min="6" max="6" width="17.86"/>
    <col customWidth="1" min="7" max="7" width="18.43"/>
    <col customWidth="1" min="8" max="8" width="43.0"/>
    <col customWidth="1" min="9" max="9" width="47.86"/>
    <col customWidth="1" min="10" max="10" width="18.0"/>
    <col customWidth="1" min="11" max="12" width="43.0"/>
    <col customWidth="1" min="13" max="13" width="18.0"/>
    <col customWidth="1" min="14" max="14" width="43.0"/>
    <col customWidth="1" min="15" max="15" width="27.0"/>
    <col customWidth="1" min="16" max="16" width="18.0"/>
    <col customWidth="1" min="17" max="18" width="43.0"/>
    <col customWidth="1" min="19" max="19" width="18.0"/>
    <col customWidth="1" min="20" max="20" width="43.0"/>
    <col customWidth="1" min="21" max="21" width="21.0"/>
    <col customWidth="1" min="22" max="22" width="18.0"/>
    <col customWidth="1" min="23" max="23" width="38.43"/>
    <col customWidth="1" min="24" max="24" width="21.0"/>
    <col customWidth="1" min="25" max="25" width="18.0"/>
    <col customWidth="1" min="26" max="26" width="18.14"/>
    <col customWidth="1" min="27" max="27" width="21.0"/>
    <col customWidth="1" min="28" max="28" width="18.0"/>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ht="22.5" customHeight="1">
      <c r="A2" s="2">
        <v>2000039.0</v>
      </c>
      <c r="B2" s="3" t="s">
        <v>28</v>
      </c>
      <c r="C2" s="4">
        <v>5.515992558055E12</v>
      </c>
      <c r="D2" s="3" t="s">
        <v>29</v>
      </c>
      <c r="E2" s="5">
        <v>4154.49</v>
      </c>
      <c r="F2" s="6"/>
      <c r="G2" s="7">
        <f t="shared" ref="G2:G79" si="1">E2*(1-F2)</f>
        <v>4154.49</v>
      </c>
      <c r="H2" s="3" t="s">
        <v>30</v>
      </c>
      <c r="I2" s="3" t="s">
        <v>31</v>
      </c>
      <c r="J2" s="3" t="s">
        <v>32</v>
      </c>
      <c r="K2" s="3" t="s">
        <v>33</v>
      </c>
      <c r="L2" s="3" t="s">
        <v>34</v>
      </c>
      <c r="M2" s="3" t="s">
        <v>32</v>
      </c>
      <c r="N2" s="3" t="s">
        <v>35</v>
      </c>
      <c r="O2" s="3" t="s">
        <v>34</v>
      </c>
      <c r="P2" s="3" t="s">
        <v>32</v>
      </c>
      <c r="Q2" s="3" t="s">
        <v>36</v>
      </c>
      <c r="R2" s="3" t="s">
        <v>31</v>
      </c>
      <c r="S2" s="3" t="s">
        <v>32</v>
      </c>
      <c r="T2" s="3" t="s">
        <v>37</v>
      </c>
      <c r="U2" s="3" t="s">
        <v>38</v>
      </c>
      <c r="V2" s="3" t="s">
        <v>32</v>
      </c>
    </row>
    <row r="3" ht="22.5" customHeight="1">
      <c r="A3" s="2">
        <v>1999789.0</v>
      </c>
      <c r="B3" s="3" t="s">
        <v>39</v>
      </c>
      <c r="C3" s="4">
        <v>5.515997331361E12</v>
      </c>
      <c r="D3" s="3" t="s">
        <v>40</v>
      </c>
      <c r="E3" s="5">
        <v>4225.0</v>
      </c>
      <c r="F3" s="6"/>
      <c r="G3" s="7">
        <f t="shared" si="1"/>
        <v>4225</v>
      </c>
      <c r="H3" s="3" t="s">
        <v>41</v>
      </c>
      <c r="I3" s="3" t="s">
        <v>31</v>
      </c>
      <c r="J3" s="3" t="s">
        <v>32</v>
      </c>
    </row>
    <row r="4" ht="22.5" customHeight="1">
      <c r="A4" s="2">
        <v>1999434.0</v>
      </c>
      <c r="B4" s="3" t="s">
        <v>42</v>
      </c>
      <c r="C4" s="4">
        <v>5.515997408739E12</v>
      </c>
      <c r="D4" s="3" t="s">
        <v>29</v>
      </c>
      <c r="E4" s="5">
        <v>26521.91</v>
      </c>
      <c r="F4" s="6"/>
      <c r="G4" s="7">
        <f t="shared" si="1"/>
        <v>26521.91</v>
      </c>
      <c r="H4" s="3" t="s">
        <v>43</v>
      </c>
      <c r="I4" s="3" t="s">
        <v>44</v>
      </c>
      <c r="J4" s="3" t="s">
        <v>32</v>
      </c>
      <c r="K4" s="3" t="s">
        <v>33</v>
      </c>
      <c r="L4" s="3" t="s">
        <v>45</v>
      </c>
      <c r="M4" s="3" t="s">
        <v>46</v>
      </c>
      <c r="N4" s="3" t="s">
        <v>47</v>
      </c>
      <c r="O4" s="3" t="s">
        <v>44</v>
      </c>
      <c r="P4" s="3" t="s">
        <v>32</v>
      </c>
      <c r="Q4" s="3" t="s">
        <v>35</v>
      </c>
      <c r="R4" s="3" t="s">
        <v>45</v>
      </c>
      <c r="S4" s="3" t="s">
        <v>46</v>
      </c>
      <c r="T4" s="3" t="s">
        <v>48</v>
      </c>
      <c r="U4" s="3" t="s">
        <v>44</v>
      </c>
      <c r="V4" s="3" t="s">
        <v>32</v>
      </c>
      <c r="W4" s="3" t="s">
        <v>49</v>
      </c>
      <c r="X4" s="3" t="s">
        <v>50</v>
      </c>
      <c r="Y4" s="3" t="s">
        <v>32</v>
      </c>
    </row>
    <row r="5" ht="22.5" hidden="1" customHeight="1">
      <c r="A5" s="2">
        <v>1999392.0</v>
      </c>
      <c r="B5" s="3" t="s">
        <v>51</v>
      </c>
      <c r="C5" s="4">
        <v>5.515988208328E12</v>
      </c>
      <c r="D5" s="3" t="s">
        <v>29</v>
      </c>
      <c r="E5" s="5">
        <v>125.79</v>
      </c>
      <c r="F5" s="6"/>
      <c r="G5" s="7">
        <f t="shared" si="1"/>
        <v>125.79</v>
      </c>
      <c r="H5" s="3" t="s">
        <v>36</v>
      </c>
      <c r="I5" s="3" t="s">
        <v>31</v>
      </c>
      <c r="J5" s="3" t="s">
        <v>32</v>
      </c>
    </row>
    <row r="6" ht="22.5" hidden="1" customHeight="1">
      <c r="A6" s="2">
        <v>1999227.0</v>
      </c>
      <c r="B6" s="3" t="s">
        <v>52</v>
      </c>
      <c r="C6" s="4">
        <v>5.51999812651E12</v>
      </c>
      <c r="D6" s="3" t="s">
        <v>53</v>
      </c>
      <c r="E6" s="5">
        <v>338.5</v>
      </c>
      <c r="F6" s="6"/>
      <c r="G6" s="7">
        <f t="shared" si="1"/>
        <v>338.5</v>
      </c>
      <c r="H6" s="3" t="s">
        <v>54</v>
      </c>
      <c r="I6" s="3" t="s">
        <v>55</v>
      </c>
      <c r="J6" s="3" t="s">
        <v>56</v>
      </c>
    </row>
    <row r="7" ht="22.5" customHeight="1">
      <c r="A7" s="2">
        <v>1999160.0</v>
      </c>
      <c r="B7" s="3" t="s">
        <v>57</v>
      </c>
      <c r="C7" s="4">
        <v>5.515988145756E12</v>
      </c>
      <c r="D7" s="3" t="s">
        <v>58</v>
      </c>
      <c r="E7" s="5">
        <v>1961.5</v>
      </c>
      <c r="F7" s="6"/>
      <c r="G7" s="7">
        <f t="shared" si="1"/>
        <v>1961.5</v>
      </c>
      <c r="H7" s="3" t="s">
        <v>59</v>
      </c>
      <c r="I7" s="3" t="s">
        <v>60</v>
      </c>
      <c r="J7" s="3" t="s">
        <v>61</v>
      </c>
      <c r="K7" s="3" t="s">
        <v>62</v>
      </c>
      <c r="L7" s="3" t="s">
        <v>63</v>
      </c>
      <c r="M7" s="3" t="s">
        <v>32</v>
      </c>
      <c r="N7" s="3" t="s">
        <v>37</v>
      </c>
      <c r="O7" s="3" t="s">
        <v>64</v>
      </c>
      <c r="P7" s="3" t="s">
        <v>61</v>
      </c>
    </row>
    <row r="8" ht="22.5" hidden="1" customHeight="1">
      <c r="A8" s="2">
        <v>1998481.0</v>
      </c>
      <c r="B8" s="3" t="s">
        <v>65</v>
      </c>
      <c r="C8" s="4">
        <v>5.515997976991E12</v>
      </c>
      <c r="D8" s="3" t="s">
        <v>58</v>
      </c>
      <c r="E8" s="5">
        <v>628.98</v>
      </c>
      <c r="F8" s="6"/>
      <c r="G8" s="7">
        <f t="shared" si="1"/>
        <v>628.98</v>
      </c>
      <c r="H8" s="3" t="s">
        <v>66</v>
      </c>
      <c r="I8" s="3" t="s">
        <v>31</v>
      </c>
      <c r="J8" s="3" t="s">
        <v>32</v>
      </c>
    </row>
    <row r="9" ht="22.5" hidden="1" customHeight="1">
      <c r="A9" s="2">
        <v>1998368.0</v>
      </c>
      <c r="B9" s="3" t="s">
        <v>67</v>
      </c>
      <c r="C9" s="4">
        <v>5.515991273394E12</v>
      </c>
      <c r="D9" s="3" t="s">
        <v>68</v>
      </c>
      <c r="E9" s="5">
        <v>626.96</v>
      </c>
      <c r="F9" s="6"/>
      <c r="G9" s="7">
        <f t="shared" si="1"/>
        <v>626.96</v>
      </c>
      <c r="H9" s="3" t="s">
        <v>37</v>
      </c>
      <c r="I9" s="3" t="s">
        <v>69</v>
      </c>
      <c r="J9" s="3" t="s">
        <v>70</v>
      </c>
    </row>
    <row r="10" ht="22.5" customHeight="1">
      <c r="A10" s="2">
        <v>1996850.0</v>
      </c>
      <c r="B10" s="3" t="s">
        <v>71</v>
      </c>
      <c r="C10" s="4">
        <v>5.515996943769E12</v>
      </c>
      <c r="D10" s="3" t="s">
        <v>68</v>
      </c>
      <c r="E10" s="5">
        <v>13318.3</v>
      </c>
      <c r="F10" s="6"/>
      <c r="G10" s="7">
        <f t="shared" si="1"/>
        <v>13318.3</v>
      </c>
      <c r="H10" s="3" t="s">
        <v>33</v>
      </c>
      <c r="I10" s="3" t="s">
        <v>72</v>
      </c>
      <c r="J10" s="3" t="s">
        <v>70</v>
      </c>
      <c r="K10" s="3" t="s">
        <v>73</v>
      </c>
      <c r="L10" s="3" t="s">
        <v>44</v>
      </c>
      <c r="M10" s="3" t="s">
        <v>32</v>
      </c>
      <c r="N10" s="3" t="s">
        <v>62</v>
      </c>
      <c r="O10" s="3" t="s">
        <v>74</v>
      </c>
      <c r="P10" s="3" t="s">
        <v>32</v>
      </c>
      <c r="Q10" s="3" t="s">
        <v>35</v>
      </c>
      <c r="R10" s="3" t="s">
        <v>72</v>
      </c>
      <c r="S10" s="3" t="s">
        <v>70</v>
      </c>
    </row>
    <row r="11" ht="22.5" customHeight="1">
      <c r="A11" s="2">
        <v>1996198.0</v>
      </c>
      <c r="B11" s="3" t="s">
        <v>75</v>
      </c>
      <c r="C11" s="4">
        <v>5.515998596635E12</v>
      </c>
      <c r="D11" s="3" t="s">
        <v>76</v>
      </c>
      <c r="E11" s="5">
        <v>9811.43</v>
      </c>
      <c r="F11" s="6"/>
      <c r="G11" s="7">
        <f t="shared" si="1"/>
        <v>9811.43</v>
      </c>
      <c r="H11" s="3" t="s">
        <v>33</v>
      </c>
      <c r="I11" s="3" t="s">
        <v>77</v>
      </c>
      <c r="J11" s="3" t="s">
        <v>61</v>
      </c>
      <c r="K11" s="3" t="s">
        <v>78</v>
      </c>
      <c r="L11" s="3" t="s">
        <v>44</v>
      </c>
      <c r="M11" s="3" t="s">
        <v>32</v>
      </c>
    </row>
    <row r="12" ht="22.5" customHeight="1">
      <c r="A12" s="2">
        <v>1996148.0</v>
      </c>
      <c r="B12" s="3" t="s">
        <v>79</v>
      </c>
      <c r="C12" s="4">
        <v>5.51599650322E12</v>
      </c>
      <c r="D12" s="3" t="s">
        <v>40</v>
      </c>
      <c r="E12" s="5">
        <v>2816.76</v>
      </c>
      <c r="F12" s="6"/>
      <c r="G12" s="7">
        <f t="shared" si="1"/>
        <v>2816.76</v>
      </c>
      <c r="H12" s="3" t="s">
        <v>33</v>
      </c>
      <c r="I12" s="3" t="s">
        <v>38</v>
      </c>
      <c r="J12" s="3" t="s">
        <v>32</v>
      </c>
      <c r="K12" s="3" t="s">
        <v>35</v>
      </c>
      <c r="L12" s="3" t="s">
        <v>38</v>
      </c>
      <c r="M12" s="3" t="s">
        <v>32</v>
      </c>
    </row>
    <row r="13" ht="22.5" customHeight="1">
      <c r="A13" s="2">
        <v>1995887.0</v>
      </c>
      <c r="B13" s="3" t="s">
        <v>80</v>
      </c>
      <c r="C13" s="4">
        <v>5.515998116328E12</v>
      </c>
      <c r="D13" s="3" t="s">
        <v>81</v>
      </c>
      <c r="E13" s="5">
        <v>1855.48</v>
      </c>
      <c r="F13" s="6"/>
      <c r="G13" s="7">
        <f t="shared" si="1"/>
        <v>1855.48</v>
      </c>
      <c r="H13" s="3" t="s">
        <v>82</v>
      </c>
      <c r="I13" s="3" t="s">
        <v>44</v>
      </c>
      <c r="J13" s="3" t="s">
        <v>32</v>
      </c>
      <c r="K13" s="3" t="s">
        <v>83</v>
      </c>
      <c r="L13" s="3" t="s">
        <v>84</v>
      </c>
      <c r="M13" s="3" t="s">
        <v>32</v>
      </c>
      <c r="N13" s="3" t="s">
        <v>85</v>
      </c>
      <c r="O13" s="3" t="s">
        <v>84</v>
      </c>
      <c r="P13" s="3" t="s">
        <v>32</v>
      </c>
    </row>
    <row r="14" ht="22.5" customHeight="1">
      <c r="A14" s="2">
        <v>1995627.0</v>
      </c>
      <c r="B14" s="3" t="s">
        <v>86</v>
      </c>
      <c r="C14" s="4">
        <v>5.51998182499E12</v>
      </c>
      <c r="D14" s="3" t="s">
        <v>81</v>
      </c>
      <c r="E14" s="5">
        <v>5853.5</v>
      </c>
      <c r="F14" s="6"/>
      <c r="G14" s="7">
        <f t="shared" si="1"/>
        <v>5853.5</v>
      </c>
      <c r="H14" s="3" t="s">
        <v>87</v>
      </c>
      <c r="I14" s="3" t="s">
        <v>31</v>
      </c>
      <c r="J14" s="3" t="s">
        <v>32</v>
      </c>
      <c r="K14" s="3" t="s">
        <v>37</v>
      </c>
      <c r="L14" s="3" t="s">
        <v>38</v>
      </c>
      <c r="M14" s="3" t="s">
        <v>32</v>
      </c>
      <c r="N14" s="3" t="s">
        <v>41</v>
      </c>
      <c r="O14" s="3" t="s">
        <v>31</v>
      </c>
      <c r="P14" s="3" t="s">
        <v>32</v>
      </c>
    </row>
    <row r="15" ht="22.5" customHeight="1">
      <c r="A15" s="2">
        <v>1995367.0</v>
      </c>
      <c r="B15" s="3" t="s">
        <v>88</v>
      </c>
      <c r="C15" s="4">
        <v>5.515981250276E12</v>
      </c>
      <c r="D15" s="3" t="s">
        <v>89</v>
      </c>
      <c r="E15" s="5">
        <v>5000.4</v>
      </c>
      <c r="F15" s="6"/>
      <c r="G15" s="7">
        <f t="shared" si="1"/>
        <v>5000.4</v>
      </c>
      <c r="H15" s="4" t="s">
        <v>33</v>
      </c>
      <c r="I15" s="4" t="s">
        <v>90</v>
      </c>
      <c r="J15" s="4">
        <v>3.0</v>
      </c>
      <c r="K15" s="4" t="s">
        <v>91</v>
      </c>
      <c r="L15" s="4" t="s">
        <v>92</v>
      </c>
      <c r="M15" s="8">
        <v>1.0</v>
      </c>
      <c r="N15" s="4" t="s">
        <v>62</v>
      </c>
      <c r="O15" s="4" t="s">
        <v>34</v>
      </c>
      <c r="P15" s="9">
        <v>1.0</v>
      </c>
      <c r="Q15" s="4" t="s">
        <v>35</v>
      </c>
      <c r="R15" s="4" t="s">
        <v>93</v>
      </c>
      <c r="S15" s="9">
        <v>2.0</v>
      </c>
    </row>
    <row r="16" ht="22.5" hidden="1" customHeight="1">
      <c r="A16" s="2">
        <v>1995330.0</v>
      </c>
      <c r="B16" s="3" t="s">
        <v>94</v>
      </c>
      <c r="C16" s="4">
        <v>5.515991883822E12</v>
      </c>
      <c r="D16" s="3" t="s">
        <v>89</v>
      </c>
      <c r="E16" s="5">
        <v>499.71</v>
      </c>
      <c r="F16" s="6"/>
      <c r="G16" s="7">
        <f t="shared" si="1"/>
        <v>499.71</v>
      </c>
      <c r="H16" s="3" t="s">
        <v>95</v>
      </c>
      <c r="I16" s="3" t="s">
        <v>44</v>
      </c>
      <c r="J16" s="3" t="s">
        <v>32</v>
      </c>
    </row>
    <row r="17" ht="22.5" customHeight="1">
      <c r="A17" s="2">
        <v>1995090.0</v>
      </c>
      <c r="B17" s="3" t="s">
        <v>96</v>
      </c>
      <c r="C17" s="4">
        <v>5.515996088613E12</v>
      </c>
      <c r="D17" s="3" t="s">
        <v>81</v>
      </c>
      <c r="E17" s="5">
        <v>7847.76</v>
      </c>
      <c r="F17" s="6"/>
      <c r="G17" s="7">
        <f t="shared" si="1"/>
        <v>7847.76</v>
      </c>
      <c r="H17" s="3" t="s">
        <v>97</v>
      </c>
      <c r="I17" s="3" t="s">
        <v>44</v>
      </c>
      <c r="J17" s="3" t="s">
        <v>32</v>
      </c>
      <c r="K17" s="3" t="s">
        <v>37</v>
      </c>
      <c r="L17" s="3" t="s">
        <v>98</v>
      </c>
      <c r="M17" s="3" t="s">
        <v>56</v>
      </c>
      <c r="N17" s="3" t="s">
        <v>99</v>
      </c>
      <c r="O17" s="3" t="s">
        <v>44</v>
      </c>
      <c r="P17" s="3" t="s">
        <v>32</v>
      </c>
    </row>
    <row r="18" ht="22.5" hidden="1" customHeight="1">
      <c r="A18" s="2">
        <v>1994981.0</v>
      </c>
      <c r="B18" s="3" t="s">
        <v>100</v>
      </c>
      <c r="C18" s="4">
        <v>5.515981072814E12</v>
      </c>
      <c r="D18" s="3" t="s">
        <v>101</v>
      </c>
      <c r="E18" s="5">
        <v>120.0</v>
      </c>
      <c r="F18" s="6"/>
      <c r="G18" s="7">
        <f t="shared" si="1"/>
        <v>120</v>
      </c>
      <c r="H18" s="3" t="s">
        <v>36</v>
      </c>
      <c r="I18" s="3" t="s">
        <v>31</v>
      </c>
      <c r="J18" s="3" t="s">
        <v>32</v>
      </c>
    </row>
    <row r="19" ht="22.5" customHeight="1">
      <c r="A19" s="2">
        <v>1994966.0</v>
      </c>
      <c r="B19" s="3" t="s">
        <v>102</v>
      </c>
      <c r="C19" s="4">
        <v>5.515981072814E12</v>
      </c>
      <c r="D19" s="3" t="s">
        <v>29</v>
      </c>
      <c r="E19" s="5">
        <v>5545.48</v>
      </c>
      <c r="F19" s="6"/>
      <c r="G19" s="7">
        <f t="shared" si="1"/>
        <v>5545.48</v>
      </c>
      <c r="H19" s="3" t="s">
        <v>33</v>
      </c>
      <c r="I19" s="3" t="s">
        <v>103</v>
      </c>
      <c r="J19" s="3" t="s">
        <v>56</v>
      </c>
      <c r="K19" s="3" t="s">
        <v>62</v>
      </c>
      <c r="L19" s="3" t="s">
        <v>104</v>
      </c>
      <c r="M19" s="3" t="s">
        <v>32</v>
      </c>
      <c r="N19" s="3" t="s">
        <v>35</v>
      </c>
      <c r="O19" s="3" t="s">
        <v>103</v>
      </c>
      <c r="P19" s="3" t="s">
        <v>56</v>
      </c>
      <c r="Q19" s="3" t="s">
        <v>36</v>
      </c>
      <c r="R19" s="3" t="s">
        <v>31</v>
      </c>
      <c r="S19" s="3" t="s">
        <v>32</v>
      </c>
    </row>
    <row r="20" ht="22.5" customHeight="1">
      <c r="A20" s="2">
        <v>1994950.0</v>
      </c>
      <c r="B20" s="3" t="s">
        <v>105</v>
      </c>
      <c r="C20" s="4">
        <v>5.515997468027E12</v>
      </c>
      <c r="D20" s="3" t="s">
        <v>29</v>
      </c>
      <c r="E20" s="5">
        <v>6042.15</v>
      </c>
      <c r="F20" s="6"/>
      <c r="G20" s="7">
        <f t="shared" si="1"/>
        <v>6042.15</v>
      </c>
      <c r="H20" s="3" t="s">
        <v>87</v>
      </c>
      <c r="I20" s="3" t="s">
        <v>31</v>
      </c>
      <c r="J20" s="3" t="s">
        <v>32</v>
      </c>
      <c r="K20" s="3" t="s">
        <v>37</v>
      </c>
      <c r="L20" s="3" t="s">
        <v>106</v>
      </c>
      <c r="M20" s="3" t="s">
        <v>56</v>
      </c>
      <c r="N20" s="3" t="s">
        <v>41</v>
      </c>
      <c r="O20" s="3" t="s">
        <v>31</v>
      </c>
      <c r="P20" s="3" t="s">
        <v>32</v>
      </c>
    </row>
    <row r="21" ht="22.5" hidden="1" customHeight="1">
      <c r="A21" s="2">
        <v>1994871.0</v>
      </c>
      <c r="B21" s="3" t="s">
        <v>107</v>
      </c>
      <c r="C21" s="4">
        <v>5.515996777589E12</v>
      </c>
      <c r="D21" s="3" t="s">
        <v>101</v>
      </c>
      <c r="E21" s="5">
        <v>995.87</v>
      </c>
      <c r="F21" s="6"/>
      <c r="G21" s="7">
        <f t="shared" si="1"/>
        <v>995.87</v>
      </c>
      <c r="H21" s="3" t="s">
        <v>108</v>
      </c>
      <c r="I21" s="3" t="s">
        <v>31</v>
      </c>
      <c r="J21" s="3" t="s">
        <v>32</v>
      </c>
      <c r="K21" s="3" t="s">
        <v>109</v>
      </c>
      <c r="L21" s="3" t="s">
        <v>110</v>
      </c>
      <c r="M21" s="3" t="s">
        <v>56</v>
      </c>
    </row>
    <row r="22" ht="22.5" hidden="1" customHeight="1">
      <c r="A22" s="2">
        <v>1994684.0</v>
      </c>
      <c r="B22" s="3" t="s">
        <v>111</v>
      </c>
      <c r="C22" s="4">
        <v>5.515996451314E12</v>
      </c>
      <c r="D22" s="3" t="s">
        <v>29</v>
      </c>
      <c r="E22" s="5">
        <v>450.0</v>
      </c>
      <c r="F22" s="6"/>
      <c r="G22" s="7">
        <f t="shared" si="1"/>
        <v>450</v>
      </c>
      <c r="H22" s="3" t="s">
        <v>37</v>
      </c>
      <c r="I22" s="3" t="s">
        <v>112</v>
      </c>
      <c r="J22" s="3" t="s">
        <v>61</v>
      </c>
    </row>
    <row r="23" ht="22.5" hidden="1" customHeight="1">
      <c r="A23" s="2">
        <v>1994347.0</v>
      </c>
      <c r="B23" s="3" t="s">
        <v>113</v>
      </c>
      <c r="C23" s="4">
        <v>5.515997140078E12</v>
      </c>
      <c r="D23" s="3" t="s">
        <v>40</v>
      </c>
      <c r="E23" s="5">
        <v>120.0</v>
      </c>
      <c r="F23" s="6"/>
      <c r="G23" s="7">
        <f t="shared" si="1"/>
        <v>120</v>
      </c>
      <c r="H23" s="3" t="s">
        <v>36</v>
      </c>
      <c r="I23" s="3" t="s">
        <v>31</v>
      </c>
      <c r="J23" s="3" t="s">
        <v>32</v>
      </c>
    </row>
    <row r="24" ht="22.5" customHeight="1">
      <c r="A24" s="2">
        <v>1992890.0</v>
      </c>
      <c r="B24" s="3" t="s">
        <v>114</v>
      </c>
      <c r="C24" s="4">
        <v>5.515997626157E12</v>
      </c>
      <c r="D24" s="3" t="s">
        <v>76</v>
      </c>
      <c r="E24" s="5">
        <v>3729.54</v>
      </c>
      <c r="F24" s="6"/>
      <c r="G24" s="7">
        <f t="shared" si="1"/>
        <v>3729.54</v>
      </c>
      <c r="H24" s="3" t="s">
        <v>83</v>
      </c>
      <c r="I24" s="3" t="s">
        <v>115</v>
      </c>
      <c r="J24" s="3" t="s">
        <v>32</v>
      </c>
      <c r="K24" s="3" t="s">
        <v>116</v>
      </c>
      <c r="L24" s="3" t="s">
        <v>117</v>
      </c>
      <c r="M24" s="3" t="s">
        <v>61</v>
      </c>
      <c r="N24" s="3" t="s">
        <v>85</v>
      </c>
      <c r="O24" s="3" t="s">
        <v>115</v>
      </c>
      <c r="P24" s="3" t="s">
        <v>32</v>
      </c>
      <c r="Q24" s="3" t="s">
        <v>118</v>
      </c>
      <c r="R24" s="3" t="s">
        <v>115</v>
      </c>
      <c r="S24" s="3" t="s">
        <v>32</v>
      </c>
    </row>
    <row r="25" ht="22.5" customHeight="1">
      <c r="A25" s="2">
        <v>1992568.0</v>
      </c>
      <c r="B25" s="3" t="s">
        <v>119</v>
      </c>
      <c r="C25" s="4">
        <v>5.515991555938E12</v>
      </c>
      <c r="D25" s="3" t="s">
        <v>68</v>
      </c>
      <c r="E25" s="5">
        <v>4756.12</v>
      </c>
      <c r="F25" s="6"/>
      <c r="G25" s="7">
        <f t="shared" si="1"/>
        <v>4756.12</v>
      </c>
      <c r="H25" s="3" t="s">
        <v>41</v>
      </c>
      <c r="I25" s="3" t="s">
        <v>31</v>
      </c>
      <c r="J25" s="3" t="s">
        <v>32</v>
      </c>
    </row>
    <row r="26" ht="22.5" customHeight="1">
      <c r="A26" s="2">
        <v>1992543.0</v>
      </c>
      <c r="B26" s="3" t="s">
        <v>120</v>
      </c>
      <c r="C26" s="4">
        <v>5.51599787126E12</v>
      </c>
      <c r="D26" s="3" t="s">
        <v>68</v>
      </c>
      <c r="E26" s="5">
        <v>5313.49</v>
      </c>
      <c r="F26" s="6"/>
      <c r="G26" s="7">
        <f t="shared" si="1"/>
        <v>5313.49</v>
      </c>
      <c r="H26" s="3" t="s">
        <v>62</v>
      </c>
      <c r="I26" s="3" t="s">
        <v>121</v>
      </c>
      <c r="J26" s="3" t="s">
        <v>61</v>
      </c>
      <c r="K26" s="3" t="s">
        <v>116</v>
      </c>
      <c r="L26" s="3" t="s">
        <v>122</v>
      </c>
      <c r="M26" s="3" t="s">
        <v>61</v>
      </c>
      <c r="N26" s="3" t="s">
        <v>108</v>
      </c>
      <c r="O26" s="3" t="s">
        <v>31</v>
      </c>
      <c r="P26" s="3" t="s">
        <v>32</v>
      </c>
      <c r="Q26" s="3" t="s">
        <v>48</v>
      </c>
      <c r="R26" s="3" t="s">
        <v>44</v>
      </c>
      <c r="S26" s="3" t="s">
        <v>32</v>
      </c>
      <c r="T26" s="3" t="s">
        <v>123</v>
      </c>
      <c r="U26" s="3" t="s">
        <v>44</v>
      </c>
      <c r="V26" s="3" t="s">
        <v>32</v>
      </c>
      <c r="W26" s="3" t="s">
        <v>37</v>
      </c>
      <c r="X26" s="3" t="s">
        <v>124</v>
      </c>
      <c r="Y26" s="3" t="s">
        <v>32</v>
      </c>
    </row>
    <row r="27" ht="22.5" customHeight="1">
      <c r="A27" s="2">
        <v>1992225.0</v>
      </c>
      <c r="B27" s="3" t="s">
        <v>125</v>
      </c>
      <c r="C27" s="4">
        <v>5.515992617559E12</v>
      </c>
      <c r="D27" s="3" t="s">
        <v>76</v>
      </c>
      <c r="E27" s="5">
        <v>5867.76</v>
      </c>
      <c r="F27" s="6"/>
      <c r="G27" s="7">
        <f t="shared" si="1"/>
        <v>5867.76</v>
      </c>
      <c r="H27" s="3" t="s">
        <v>59</v>
      </c>
      <c r="I27" s="3" t="s">
        <v>126</v>
      </c>
      <c r="J27" s="3" t="s">
        <v>32</v>
      </c>
      <c r="K27" s="3" t="s">
        <v>108</v>
      </c>
      <c r="L27" s="3" t="s">
        <v>31</v>
      </c>
      <c r="M27" s="3" t="s">
        <v>32</v>
      </c>
      <c r="N27" s="3" t="s">
        <v>36</v>
      </c>
      <c r="O27" s="3" t="s">
        <v>31</v>
      </c>
      <c r="P27" s="3" t="s">
        <v>32</v>
      </c>
      <c r="Q27" s="3" t="s">
        <v>37</v>
      </c>
      <c r="R27" s="3" t="s">
        <v>127</v>
      </c>
      <c r="S27" s="3" t="s">
        <v>56</v>
      </c>
      <c r="T27" s="3" t="s">
        <v>128</v>
      </c>
      <c r="U27" s="3" t="s">
        <v>31</v>
      </c>
      <c r="V27" s="3" t="s">
        <v>32</v>
      </c>
    </row>
    <row r="28" ht="22.5" customHeight="1">
      <c r="A28" s="2">
        <v>1991697.0</v>
      </c>
      <c r="B28" s="3" t="s">
        <v>129</v>
      </c>
      <c r="C28" s="4">
        <v>5.515991258608E12</v>
      </c>
      <c r="D28" s="3" t="s">
        <v>76</v>
      </c>
      <c r="E28" s="5">
        <v>2231.93</v>
      </c>
      <c r="F28" s="6"/>
      <c r="G28" s="7">
        <f t="shared" si="1"/>
        <v>2231.93</v>
      </c>
      <c r="H28" s="3" t="s">
        <v>130</v>
      </c>
      <c r="I28" s="3" t="s">
        <v>131</v>
      </c>
      <c r="J28" s="3" t="s">
        <v>32</v>
      </c>
      <c r="K28" s="3" t="s">
        <v>132</v>
      </c>
      <c r="L28" s="3" t="s">
        <v>131</v>
      </c>
      <c r="M28" s="3" t="s">
        <v>32</v>
      </c>
      <c r="N28" s="3" t="s">
        <v>133</v>
      </c>
      <c r="O28" s="3" t="s">
        <v>131</v>
      </c>
      <c r="P28" s="3" t="s">
        <v>32</v>
      </c>
    </row>
    <row r="29" ht="22.5" hidden="1" customHeight="1">
      <c r="A29" s="2">
        <v>1991206.0</v>
      </c>
      <c r="B29" s="3" t="s">
        <v>134</v>
      </c>
      <c r="C29" s="4">
        <v>5.515992442093E12</v>
      </c>
      <c r="D29" s="3" t="s">
        <v>89</v>
      </c>
      <c r="E29" s="5">
        <v>547.2</v>
      </c>
      <c r="F29" s="6"/>
      <c r="G29" s="7">
        <f t="shared" si="1"/>
        <v>547.2</v>
      </c>
      <c r="H29" s="3" t="s">
        <v>82</v>
      </c>
      <c r="I29" s="3" t="s">
        <v>135</v>
      </c>
      <c r="J29" s="3" t="s">
        <v>56</v>
      </c>
      <c r="K29" s="3" t="s">
        <v>37</v>
      </c>
      <c r="L29" s="3" t="s">
        <v>136</v>
      </c>
      <c r="M29" s="3" t="s">
        <v>56</v>
      </c>
    </row>
    <row r="30" ht="22.5" customHeight="1">
      <c r="A30" s="2">
        <v>1990709.0</v>
      </c>
      <c r="B30" s="3" t="s">
        <v>137</v>
      </c>
      <c r="C30" s="4">
        <v>5.515997447619E12</v>
      </c>
      <c r="D30" s="3" t="s">
        <v>89</v>
      </c>
      <c r="E30" s="5">
        <v>3066.25</v>
      </c>
      <c r="F30" s="6"/>
      <c r="G30" s="7">
        <f t="shared" si="1"/>
        <v>3066.25</v>
      </c>
      <c r="H30" s="3" t="s">
        <v>138</v>
      </c>
      <c r="I30" s="3" t="s">
        <v>139</v>
      </c>
      <c r="J30" s="3" t="s">
        <v>32</v>
      </c>
      <c r="K30" s="3" t="s">
        <v>130</v>
      </c>
      <c r="L30" s="3" t="s">
        <v>140</v>
      </c>
      <c r="M30" s="3" t="s">
        <v>32</v>
      </c>
      <c r="N30" s="3" t="s">
        <v>91</v>
      </c>
      <c r="O30" s="3" t="s">
        <v>139</v>
      </c>
      <c r="P30" s="3" t="s">
        <v>32</v>
      </c>
      <c r="Q30" s="3" t="s">
        <v>133</v>
      </c>
      <c r="R30" s="3" t="s">
        <v>140</v>
      </c>
      <c r="S30" s="3" t="s">
        <v>32</v>
      </c>
      <c r="T30" s="3" t="s">
        <v>108</v>
      </c>
      <c r="U30" s="3" t="s">
        <v>31</v>
      </c>
      <c r="V30" s="3" t="s">
        <v>56</v>
      </c>
      <c r="W30" s="3" t="s">
        <v>37</v>
      </c>
      <c r="X30" s="3" t="s">
        <v>141</v>
      </c>
      <c r="Y30" s="3" t="s">
        <v>70</v>
      </c>
    </row>
    <row r="31" ht="22.5" hidden="1" customHeight="1">
      <c r="A31" s="2">
        <v>1990710.0</v>
      </c>
      <c r="B31" s="3" t="s">
        <v>137</v>
      </c>
      <c r="C31" s="4">
        <v>5.515997447619E12</v>
      </c>
      <c r="D31" s="3" t="s">
        <v>89</v>
      </c>
      <c r="E31" s="5">
        <v>628.97</v>
      </c>
      <c r="F31" s="6"/>
      <c r="G31" s="7">
        <f t="shared" si="1"/>
        <v>628.97</v>
      </c>
      <c r="H31" s="3" t="s">
        <v>138</v>
      </c>
      <c r="I31" s="3" t="s">
        <v>139</v>
      </c>
      <c r="J31" s="3" t="s">
        <v>32</v>
      </c>
      <c r="K31" s="3" t="s">
        <v>91</v>
      </c>
      <c r="L31" s="3" t="s">
        <v>139</v>
      </c>
      <c r="M31" s="3" t="s">
        <v>32</v>
      </c>
      <c r="N31" s="3" t="s">
        <v>37</v>
      </c>
      <c r="O31" s="3" t="s">
        <v>34</v>
      </c>
      <c r="P31" s="3" t="s">
        <v>32</v>
      </c>
    </row>
    <row r="32" ht="22.5" customHeight="1">
      <c r="A32" s="2">
        <v>1990698.0</v>
      </c>
      <c r="B32" s="3" t="s">
        <v>142</v>
      </c>
      <c r="C32" s="4">
        <v>5.515991212664E12</v>
      </c>
      <c r="D32" s="3" t="s">
        <v>81</v>
      </c>
      <c r="E32" s="5">
        <v>1775.35</v>
      </c>
      <c r="F32" s="6"/>
      <c r="G32" s="7">
        <f t="shared" si="1"/>
        <v>1775.35</v>
      </c>
      <c r="H32" s="3" t="s">
        <v>143</v>
      </c>
      <c r="I32" s="3" t="s">
        <v>50</v>
      </c>
      <c r="J32" s="3" t="s">
        <v>32</v>
      </c>
    </row>
    <row r="33" ht="22.5" hidden="1" customHeight="1">
      <c r="A33" s="2">
        <v>1990193.0</v>
      </c>
      <c r="B33" s="3" t="s">
        <v>144</v>
      </c>
      <c r="C33" s="4">
        <v>5.515981432672E12</v>
      </c>
      <c r="D33" s="3" t="s">
        <v>29</v>
      </c>
      <c r="E33" s="5">
        <v>919.53</v>
      </c>
      <c r="F33" s="6"/>
      <c r="G33" s="7">
        <f t="shared" si="1"/>
        <v>919.53</v>
      </c>
      <c r="H33" s="3" t="s">
        <v>91</v>
      </c>
      <c r="I33" s="3" t="s">
        <v>38</v>
      </c>
      <c r="J33" s="3" t="s">
        <v>32</v>
      </c>
      <c r="K33" s="3" t="s">
        <v>108</v>
      </c>
      <c r="L33" s="3" t="s">
        <v>31</v>
      </c>
      <c r="M33" s="3" t="s">
        <v>32</v>
      </c>
      <c r="N33" s="3" t="s">
        <v>36</v>
      </c>
      <c r="O33" s="3" t="s">
        <v>31</v>
      </c>
      <c r="P33" s="3" t="s">
        <v>32</v>
      </c>
      <c r="Q33" s="3" t="s">
        <v>37</v>
      </c>
      <c r="R33" s="3" t="s">
        <v>145</v>
      </c>
      <c r="S33" s="3" t="s">
        <v>56</v>
      </c>
    </row>
    <row r="34" ht="22.5" customHeight="1">
      <c r="A34" s="2">
        <v>1990094.0</v>
      </c>
      <c r="B34" s="3" t="s">
        <v>146</v>
      </c>
      <c r="C34" s="4">
        <v>5.515991550082E12</v>
      </c>
      <c r="D34" s="3" t="s">
        <v>76</v>
      </c>
      <c r="E34" s="5">
        <v>7043.04</v>
      </c>
      <c r="F34" s="6"/>
      <c r="G34" s="7">
        <f t="shared" si="1"/>
        <v>7043.04</v>
      </c>
      <c r="H34" s="3" t="s">
        <v>33</v>
      </c>
      <c r="I34" s="3" t="s">
        <v>147</v>
      </c>
      <c r="J34" s="3" t="s">
        <v>56</v>
      </c>
      <c r="K34" s="3" t="s">
        <v>35</v>
      </c>
      <c r="L34" s="3" t="s">
        <v>147</v>
      </c>
      <c r="M34" s="3" t="s">
        <v>56</v>
      </c>
      <c r="N34" s="3" t="s">
        <v>108</v>
      </c>
      <c r="O34" s="3" t="s">
        <v>31</v>
      </c>
      <c r="P34" s="3" t="s">
        <v>32</v>
      </c>
      <c r="Q34" s="3" t="s">
        <v>36</v>
      </c>
      <c r="R34" s="3" t="s">
        <v>31</v>
      </c>
      <c r="S34" s="3" t="s">
        <v>32</v>
      </c>
      <c r="T34" s="3" t="s">
        <v>37</v>
      </c>
      <c r="U34" s="3" t="s">
        <v>148</v>
      </c>
      <c r="V34" s="3" t="s">
        <v>61</v>
      </c>
    </row>
    <row r="35" ht="22.5" customHeight="1">
      <c r="A35" s="2">
        <v>1989466.0</v>
      </c>
      <c r="B35" s="3" t="s">
        <v>149</v>
      </c>
      <c r="C35" s="4">
        <v>5.515999999999E12</v>
      </c>
      <c r="D35" s="3" t="s">
        <v>40</v>
      </c>
      <c r="E35" s="5">
        <v>1022.76</v>
      </c>
      <c r="F35" s="6"/>
      <c r="G35" s="7">
        <f t="shared" si="1"/>
        <v>1022.76</v>
      </c>
      <c r="H35" s="3" t="s">
        <v>66</v>
      </c>
      <c r="I35" s="3" t="s">
        <v>31</v>
      </c>
      <c r="J35" s="3" t="s">
        <v>32</v>
      </c>
      <c r="K35" s="3" t="s">
        <v>150</v>
      </c>
      <c r="L35" s="3" t="s">
        <v>31</v>
      </c>
      <c r="M35" s="3" t="s">
        <v>32</v>
      </c>
      <c r="N35" s="3" t="s">
        <v>151</v>
      </c>
      <c r="O35" s="3" t="s">
        <v>31</v>
      </c>
      <c r="P35" s="3" t="s">
        <v>32</v>
      </c>
    </row>
    <row r="36" ht="22.5" customHeight="1">
      <c r="A36" s="2">
        <v>1988873.0</v>
      </c>
      <c r="B36" s="3" t="s">
        <v>152</v>
      </c>
      <c r="C36" s="4">
        <v>5.511995109081E12</v>
      </c>
      <c r="D36" s="3" t="s">
        <v>58</v>
      </c>
      <c r="E36" s="5">
        <v>2358.67</v>
      </c>
      <c r="F36" s="6"/>
      <c r="G36" s="7">
        <f t="shared" si="1"/>
        <v>2358.67</v>
      </c>
      <c r="H36" s="3" t="s">
        <v>30</v>
      </c>
      <c r="I36" s="3" t="s">
        <v>31</v>
      </c>
      <c r="J36" s="3" t="s">
        <v>32</v>
      </c>
      <c r="K36" s="3" t="s">
        <v>66</v>
      </c>
      <c r="L36" s="3" t="s">
        <v>31</v>
      </c>
      <c r="M36" s="3" t="s">
        <v>32</v>
      </c>
    </row>
    <row r="37" ht="22.5" customHeight="1">
      <c r="A37" s="10">
        <v>1988721.0</v>
      </c>
      <c r="B37" s="11" t="s">
        <v>153</v>
      </c>
      <c r="C37" s="12">
        <v>5.51599121432E12</v>
      </c>
      <c r="D37" s="11" t="s">
        <v>40</v>
      </c>
      <c r="E37" s="13">
        <v>3040.06</v>
      </c>
      <c r="F37" s="14"/>
      <c r="G37" s="15">
        <f t="shared" si="1"/>
        <v>3040.06</v>
      </c>
      <c r="H37" s="11" t="s">
        <v>33</v>
      </c>
      <c r="I37" s="11" t="s">
        <v>63</v>
      </c>
      <c r="J37" s="11" t="s">
        <v>32</v>
      </c>
      <c r="K37" s="11" t="s">
        <v>35</v>
      </c>
      <c r="L37" s="11" t="s">
        <v>63</v>
      </c>
      <c r="M37" s="11" t="s">
        <v>32</v>
      </c>
      <c r="N37" s="11"/>
      <c r="O37" s="11"/>
      <c r="P37" s="11"/>
      <c r="Q37" s="11"/>
      <c r="R37" s="11"/>
      <c r="S37" s="11"/>
      <c r="T37" s="11"/>
      <c r="U37" s="11"/>
      <c r="V37" s="11"/>
      <c r="W37" s="11"/>
      <c r="X37" s="11"/>
      <c r="Y37" s="11"/>
      <c r="Z37" s="11"/>
      <c r="AA37" s="11"/>
      <c r="AB37" s="11"/>
    </row>
    <row r="38" ht="22.5" hidden="1" customHeight="1">
      <c r="A38" s="2">
        <v>1988525.0</v>
      </c>
      <c r="B38" s="3" t="s">
        <v>154</v>
      </c>
      <c r="C38" s="4">
        <v>5.511996321501E12</v>
      </c>
      <c r="D38" s="3" t="s">
        <v>155</v>
      </c>
      <c r="E38" s="5">
        <v>461.24</v>
      </c>
      <c r="F38" s="6"/>
      <c r="G38" s="7">
        <f t="shared" si="1"/>
        <v>461.24</v>
      </c>
      <c r="H38" s="3" t="s">
        <v>108</v>
      </c>
      <c r="I38" s="3" t="s">
        <v>31</v>
      </c>
      <c r="J38" s="3" t="s">
        <v>32</v>
      </c>
      <c r="K38" s="3" t="s">
        <v>36</v>
      </c>
      <c r="L38" s="3" t="s">
        <v>31</v>
      </c>
      <c r="M38" s="3" t="s">
        <v>32</v>
      </c>
      <c r="N38" s="3" t="s">
        <v>37</v>
      </c>
      <c r="O38" s="3" t="s">
        <v>74</v>
      </c>
      <c r="P38" s="3" t="s">
        <v>32</v>
      </c>
    </row>
    <row r="39" ht="22.5" customHeight="1">
      <c r="A39" s="2">
        <v>1988141.0</v>
      </c>
      <c r="B39" s="3" t="s">
        <v>156</v>
      </c>
      <c r="C39" s="4">
        <v>5.515997061916E12</v>
      </c>
      <c r="D39" s="3" t="s">
        <v>157</v>
      </c>
      <c r="E39" s="5">
        <v>4911.55</v>
      </c>
      <c r="F39" s="6"/>
      <c r="G39" s="7">
        <f t="shared" si="1"/>
        <v>4911.55</v>
      </c>
      <c r="H39" s="3" t="s">
        <v>36</v>
      </c>
      <c r="I39" s="3" t="s">
        <v>31</v>
      </c>
      <c r="J39" s="3" t="s">
        <v>32</v>
      </c>
      <c r="K39" s="3" t="s">
        <v>41</v>
      </c>
      <c r="L39" s="3" t="s">
        <v>31</v>
      </c>
      <c r="M39" s="3" t="s">
        <v>32</v>
      </c>
    </row>
    <row r="40" ht="22.5" customHeight="1">
      <c r="A40" s="2">
        <v>1988134.0</v>
      </c>
      <c r="B40" s="3" t="s">
        <v>158</v>
      </c>
      <c r="C40" s="4">
        <v>5.515997061916E12</v>
      </c>
      <c r="D40" s="3" t="s">
        <v>157</v>
      </c>
      <c r="E40" s="5">
        <v>1221.05</v>
      </c>
      <c r="F40" s="6"/>
      <c r="G40" s="7">
        <f t="shared" si="1"/>
        <v>1221.05</v>
      </c>
      <c r="H40" s="3" t="s">
        <v>159</v>
      </c>
      <c r="I40" s="3" t="s">
        <v>31</v>
      </c>
      <c r="J40" s="3" t="s">
        <v>32</v>
      </c>
      <c r="K40" s="3" t="s">
        <v>108</v>
      </c>
      <c r="L40" s="3" t="s">
        <v>31</v>
      </c>
      <c r="M40" s="3" t="s">
        <v>32</v>
      </c>
      <c r="N40" s="3" t="s">
        <v>36</v>
      </c>
      <c r="O40" s="3" t="s">
        <v>31</v>
      </c>
      <c r="P40" s="3" t="s">
        <v>32</v>
      </c>
      <c r="Q40" s="3" t="s">
        <v>37</v>
      </c>
      <c r="R40" s="3" t="s">
        <v>160</v>
      </c>
      <c r="S40" s="3" t="s">
        <v>61</v>
      </c>
    </row>
    <row r="41" ht="22.5" hidden="1" customHeight="1">
      <c r="A41" s="2">
        <v>1987904.0</v>
      </c>
      <c r="B41" s="3" t="s">
        <v>161</v>
      </c>
      <c r="C41" s="4">
        <v>5.515997679471E12</v>
      </c>
      <c r="D41" s="3" t="s">
        <v>157</v>
      </c>
      <c r="E41" s="5">
        <v>292.47</v>
      </c>
      <c r="F41" s="6"/>
      <c r="G41" s="7">
        <f t="shared" si="1"/>
        <v>292.47</v>
      </c>
      <c r="H41" s="3" t="s">
        <v>108</v>
      </c>
      <c r="I41" s="3" t="s">
        <v>31</v>
      </c>
      <c r="J41" s="3" t="s">
        <v>32</v>
      </c>
      <c r="K41" s="3" t="s">
        <v>36</v>
      </c>
      <c r="L41" s="3" t="s">
        <v>31</v>
      </c>
      <c r="M41" s="3" t="s">
        <v>32</v>
      </c>
    </row>
    <row r="42" ht="22.5" customHeight="1">
      <c r="A42" s="2">
        <v>1987675.0</v>
      </c>
      <c r="B42" s="3" t="s">
        <v>162</v>
      </c>
      <c r="C42" s="4">
        <v>5.515991888916E12</v>
      </c>
      <c r="D42" s="3" t="s">
        <v>157</v>
      </c>
      <c r="E42" s="5">
        <v>6279.6</v>
      </c>
      <c r="F42" s="6"/>
      <c r="G42" s="7">
        <f t="shared" si="1"/>
        <v>6279.6</v>
      </c>
      <c r="H42" s="3" t="s">
        <v>87</v>
      </c>
      <c r="I42" s="3" t="s">
        <v>31</v>
      </c>
      <c r="J42" s="3" t="s">
        <v>32</v>
      </c>
      <c r="K42" s="3" t="s">
        <v>59</v>
      </c>
      <c r="L42" s="3" t="s">
        <v>163</v>
      </c>
      <c r="M42" s="3" t="s">
        <v>56</v>
      </c>
      <c r="N42" s="3" t="s">
        <v>128</v>
      </c>
      <c r="O42" s="3" t="s">
        <v>31</v>
      </c>
      <c r="P42" s="3" t="s">
        <v>32</v>
      </c>
    </row>
    <row r="43" ht="22.5" customHeight="1">
      <c r="A43" s="2">
        <v>1987420.0</v>
      </c>
      <c r="B43" s="3" t="s">
        <v>164</v>
      </c>
      <c r="C43" s="4">
        <v>5.51599155653E12</v>
      </c>
      <c r="D43" s="3" t="s">
        <v>76</v>
      </c>
      <c r="E43" s="5">
        <v>1871.99</v>
      </c>
      <c r="F43" s="6"/>
      <c r="G43" s="7">
        <f t="shared" si="1"/>
        <v>1871.99</v>
      </c>
      <c r="H43" s="3" t="s">
        <v>165</v>
      </c>
      <c r="I43" s="3" t="s">
        <v>44</v>
      </c>
      <c r="J43" s="3" t="s">
        <v>32</v>
      </c>
    </row>
    <row r="44" ht="22.5" customHeight="1">
      <c r="A44" s="2">
        <v>1986978.0</v>
      </c>
      <c r="B44" s="3" t="s">
        <v>166</v>
      </c>
      <c r="C44" s="4">
        <v>5.51599710651E12</v>
      </c>
      <c r="D44" s="3" t="s">
        <v>76</v>
      </c>
      <c r="E44" s="5">
        <v>3182.29</v>
      </c>
      <c r="F44" s="6"/>
      <c r="G44" s="7">
        <f t="shared" si="1"/>
        <v>3182.29</v>
      </c>
      <c r="H44" s="3" t="s">
        <v>165</v>
      </c>
      <c r="I44" s="3" t="s">
        <v>135</v>
      </c>
      <c r="J44" s="3" t="s">
        <v>56</v>
      </c>
    </row>
    <row r="45" ht="22.5" customHeight="1">
      <c r="A45" s="2">
        <v>1986737.0</v>
      </c>
      <c r="B45" s="3" t="s">
        <v>167</v>
      </c>
      <c r="C45" s="4">
        <v>5.51599626715E12</v>
      </c>
      <c r="D45" s="3" t="s">
        <v>76</v>
      </c>
      <c r="E45" s="5">
        <v>3415.0</v>
      </c>
      <c r="F45" s="6"/>
      <c r="G45" s="7">
        <f t="shared" si="1"/>
        <v>3415</v>
      </c>
      <c r="H45" s="3" t="s">
        <v>130</v>
      </c>
      <c r="I45" s="3" t="s">
        <v>34</v>
      </c>
      <c r="J45" s="3" t="s">
        <v>32</v>
      </c>
      <c r="K45" s="3" t="s">
        <v>133</v>
      </c>
      <c r="L45" s="3" t="s">
        <v>34</v>
      </c>
      <c r="M45" s="3" t="s">
        <v>32</v>
      </c>
      <c r="N45" s="3" t="s">
        <v>108</v>
      </c>
      <c r="O45" s="3" t="s">
        <v>31</v>
      </c>
      <c r="P45" s="3" t="s">
        <v>32</v>
      </c>
      <c r="Q45" s="3" t="s">
        <v>168</v>
      </c>
      <c r="R45" s="3" t="s">
        <v>31</v>
      </c>
      <c r="S45" s="3" t="s">
        <v>32</v>
      </c>
      <c r="T45" s="3" t="s">
        <v>37</v>
      </c>
      <c r="U45" s="3" t="s">
        <v>169</v>
      </c>
      <c r="V45" s="3" t="s">
        <v>170</v>
      </c>
      <c r="W45" s="3" t="s">
        <v>171</v>
      </c>
      <c r="X45" s="3" t="s">
        <v>34</v>
      </c>
      <c r="Y45" s="3" t="s">
        <v>32</v>
      </c>
    </row>
    <row r="46" ht="22.5" hidden="1" customHeight="1">
      <c r="A46" s="2">
        <v>1986471.0</v>
      </c>
      <c r="B46" s="3" t="s">
        <v>172</v>
      </c>
      <c r="C46" s="4">
        <v>5.515988205502E12</v>
      </c>
      <c r="D46" s="3" t="s">
        <v>173</v>
      </c>
      <c r="E46" s="5">
        <v>567.58</v>
      </c>
      <c r="F46" s="6"/>
      <c r="G46" s="7">
        <f t="shared" si="1"/>
        <v>567.58</v>
      </c>
      <c r="H46" s="3" t="s">
        <v>174</v>
      </c>
      <c r="I46" s="3" t="s">
        <v>126</v>
      </c>
      <c r="J46" s="3" t="s">
        <v>32</v>
      </c>
    </row>
    <row r="47" ht="22.5" hidden="1" customHeight="1">
      <c r="A47" s="2">
        <v>1986451.0</v>
      </c>
      <c r="B47" s="3" t="s">
        <v>175</v>
      </c>
      <c r="C47" s="4">
        <v>5.51598803305E12</v>
      </c>
      <c r="D47" s="3" t="s">
        <v>81</v>
      </c>
      <c r="E47" s="5">
        <v>426.3</v>
      </c>
      <c r="F47" s="6"/>
      <c r="G47" s="7">
        <f t="shared" si="1"/>
        <v>426.3</v>
      </c>
      <c r="H47" s="3" t="s">
        <v>108</v>
      </c>
      <c r="I47" s="3" t="s">
        <v>31</v>
      </c>
      <c r="J47" s="3" t="s">
        <v>32</v>
      </c>
      <c r="K47" s="3" t="s">
        <v>37</v>
      </c>
      <c r="L47" s="3" t="s">
        <v>176</v>
      </c>
      <c r="M47" s="3" t="s">
        <v>56</v>
      </c>
    </row>
    <row r="48" ht="22.5" hidden="1" customHeight="1">
      <c r="A48" s="2">
        <v>1986378.0</v>
      </c>
      <c r="B48" s="3" t="s">
        <v>175</v>
      </c>
      <c r="C48" s="4">
        <v>5.51598803305E12</v>
      </c>
      <c r="D48" s="3" t="s">
        <v>81</v>
      </c>
      <c r="E48" s="5">
        <v>487.01</v>
      </c>
      <c r="F48" s="6"/>
      <c r="G48" s="7">
        <f t="shared" si="1"/>
        <v>487.01</v>
      </c>
      <c r="H48" s="3" t="s">
        <v>108</v>
      </c>
      <c r="I48" s="3" t="s">
        <v>31</v>
      </c>
      <c r="J48" s="3" t="s">
        <v>32</v>
      </c>
      <c r="K48" s="3" t="s">
        <v>37</v>
      </c>
      <c r="L48" s="3" t="s">
        <v>176</v>
      </c>
      <c r="M48" s="3" t="s">
        <v>56</v>
      </c>
    </row>
    <row r="49" ht="22.5" customHeight="1">
      <c r="A49" s="10">
        <v>1985641.0</v>
      </c>
      <c r="B49" s="11" t="s">
        <v>177</v>
      </c>
      <c r="C49" s="12">
        <v>5.515981543549E12</v>
      </c>
      <c r="D49" s="11" t="s">
        <v>173</v>
      </c>
      <c r="E49" s="13">
        <v>8095.9</v>
      </c>
      <c r="F49" s="14"/>
      <c r="G49" s="15">
        <f t="shared" si="1"/>
        <v>8095.9</v>
      </c>
      <c r="H49" s="11" t="s">
        <v>87</v>
      </c>
      <c r="I49" s="11" t="s">
        <v>31</v>
      </c>
      <c r="J49" s="11" t="s">
        <v>32</v>
      </c>
      <c r="K49" s="11" t="s">
        <v>132</v>
      </c>
      <c r="L49" s="11" t="s">
        <v>178</v>
      </c>
      <c r="M49" s="11" t="s">
        <v>56</v>
      </c>
      <c r="N49" s="11" t="s">
        <v>37</v>
      </c>
      <c r="O49" s="11" t="s">
        <v>179</v>
      </c>
      <c r="P49" s="11" t="s">
        <v>61</v>
      </c>
      <c r="Q49" s="11" t="s">
        <v>41</v>
      </c>
      <c r="R49" s="11" t="s">
        <v>31</v>
      </c>
      <c r="S49" s="11" t="s">
        <v>32</v>
      </c>
      <c r="T49" s="11"/>
      <c r="U49" s="11"/>
      <c r="V49" s="11"/>
      <c r="W49" s="11"/>
      <c r="X49" s="11"/>
      <c r="Y49" s="11"/>
      <c r="Z49" s="11"/>
      <c r="AA49" s="11"/>
      <c r="AB49" s="11"/>
    </row>
    <row r="50" ht="22.5" customHeight="1">
      <c r="A50" s="2">
        <v>1985194.0</v>
      </c>
      <c r="B50" s="3" t="s">
        <v>180</v>
      </c>
      <c r="C50" s="4">
        <v>5.515974012746E12</v>
      </c>
      <c r="D50" s="3" t="s">
        <v>29</v>
      </c>
      <c r="E50" s="5">
        <v>8838.3</v>
      </c>
      <c r="F50" s="6"/>
      <c r="G50" s="7">
        <f t="shared" si="1"/>
        <v>8838.3</v>
      </c>
      <c r="H50" s="3" t="s">
        <v>87</v>
      </c>
      <c r="I50" s="3" t="s">
        <v>31</v>
      </c>
      <c r="J50" s="3" t="s">
        <v>32</v>
      </c>
      <c r="K50" s="3" t="s">
        <v>130</v>
      </c>
      <c r="L50" s="3" t="s">
        <v>104</v>
      </c>
      <c r="M50" s="3" t="s">
        <v>32</v>
      </c>
      <c r="N50" s="3" t="s">
        <v>132</v>
      </c>
      <c r="O50" s="3" t="s">
        <v>104</v>
      </c>
      <c r="P50" s="3" t="s">
        <v>32</v>
      </c>
      <c r="Q50" s="3" t="s">
        <v>133</v>
      </c>
      <c r="R50" s="3" t="s">
        <v>104</v>
      </c>
      <c r="S50" s="3" t="s">
        <v>32</v>
      </c>
      <c r="T50" s="3" t="s">
        <v>37</v>
      </c>
      <c r="U50" s="3" t="s">
        <v>181</v>
      </c>
      <c r="V50" s="3" t="s">
        <v>56</v>
      </c>
      <c r="W50" s="3" t="s">
        <v>41</v>
      </c>
      <c r="X50" s="3" t="s">
        <v>31</v>
      </c>
      <c r="Y50" s="3" t="s">
        <v>32</v>
      </c>
    </row>
    <row r="51" ht="22.5" customHeight="1">
      <c r="A51" s="2">
        <v>1984664.0</v>
      </c>
      <c r="B51" s="3" t="s">
        <v>182</v>
      </c>
      <c r="C51" s="4">
        <v>5.515998287779E12</v>
      </c>
      <c r="D51" s="3" t="s">
        <v>40</v>
      </c>
      <c r="E51" s="5">
        <v>1553.6</v>
      </c>
      <c r="F51" s="6"/>
      <c r="G51" s="7">
        <f t="shared" si="1"/>
        <v>1553.6</v>
      </c>
      <c r="H51" s="3" t="s">
        <v>30</v>
      </c>
      <c r="I51" s="3" t="s">
        <v>31</v>
      </c>
      <c r="J51" s="3" t="s">
        <v>32</v>
      </c>
    </row>
    <row r="52" ht="22.5" customHeight="1">
      <c r="A52" s="2">
        <v>1984446.0</v>
      </c>
      <c r="B52" s="3" t="s">
        <v>183</v>
      </c>
      <c r="C52" s="4">
        <v>5.51599197293E12</v>
      </c>
      <c r="D52" s="3" t="s">
        <v>184</v>
      </c>
      <c r="E52" s="5">
        <v>9037.8</v>
      </c>
      <c r="F52" s="6"/>
      <c r="G52" s="7">
        <f t="shared" si="1"/>
        <v>9037.8</v>
      </c>
      <c r="H52" s="3" t="s">
        <v>35</v>
      </c>
      <c r="I52" s="3" t="s">
        <v>185</v>
      </c>
      <c r="J52" s="3" t="s">
        <v>186</v>
      </c>
      <c r="K52" s="3" t="s">
        <v>49</v>
      </c>
      <c r="L52" s="3" t="s">
        <v>44</v>
      </c>
      <c r="M52" s="3" t="s">
        <v>32</v>
      </c>
    </row>
    <row r="53" ht="22.5" customHeight="1">
      <c r="A53" s="2">
        <v>1984249.0</v>
      </c>
      <c r="B53" s="3" t="s">
        <v>187</v>
      </c>
      <c r="C53" s="4">
        <v>5.515981492075E12</v>
      </c>
      <c r="D53" s="3" t="s">
        <v>188</v>
      </c>
      <c r="E53" s="5">
        <v>4534.4</v>
      </c>
      <c r="F53" s="6"/>
      <c r="G53" s="7">
        <f t="shared" si="1"/>
        <v>4534.4</v>
      </c>
      <c r="H53" s="3" t="s">
        <v>41</v>
      </c>
      <c r="I53" s="3" t="s">
        <v>31</v>
      </c>
      <c r="J53" s="3" t="s">
        <v>32</v>
      </c>
    </row>
    <row r="54" ht="22.5" hidden="1" customHeight="1">
      <c r="A54" s="2">
        <v>1984246.0</v>
      </c>
      <c r="B54" s="3" t="s">
        <v>189</v>
      </c>
      <c r="C54" s="4">
        <v>5.515991600825E12</v>
      </c>
      <c r="D54" s="3" t="s">
        <v>58</v>
      </c>
      <c r="E54" s="5">
        <v>620.0</v>
      </c>
      <c r="F54" s="6"/>
      <c r="G54" s="7">
        <f t="shared" si="1"/>
        <v>620</v>
      </c>
      <c r="H54" s="3" t="s">
        <v>108</v>
      </c>
      <c r="I54" s="3" t="s">
        <v>31</v>
      </c>
      <c r="J54" s="3" t="s">
        <v>32</v>
      </c>
      <c r="K54" s="3" t="s">
        <v>37</v>
      </c>
      <c r="L54" s="3" t="s">
        <v>190</v>
      </c>
      <c r="M54" s="3" t="s">
        <v>61</v>
      </c>
    </row>
    <row r="55" ht="22.5" hidden="1" customHeight="1">
      <c r="A55" s="2">
        <v>1983939.0</v>
      </c>
      <c r="B55" s="3" t="s">
        <v>191</v>
      </c>
      <c r="C55" s="4">
        <v>5.515996252383E12</v>
      </c>
      <c r="D55" s="3" t="s">
        <v>58</v>
      </c>
      <c r="E55" s="5">
        <v>170.0</v>
      </c>
      <c r="F55" s="6"/>
      <c r="G55" s="7">
        <f t="shared" si="1"/>
        <v>170</v>
      </c>
      <c r="H55" s="3" t="s">
        <v>37</v>
      </c>
      <c r="I55" s="3" t="s">
        <v>92</v>
      </c>
      <c r="J55" s="3" t="s">
        <v>32</v>
      </c>
    </row>
    <row r="56" ht="22.5" customHeight="1">
      <c r="A56" s="2">
        <v>1983890.0</v>
      </c>
      <c r="B56" s="3" t="s">
        <v>192</v>
      </c>
      <c r="C56" s="4">
        <v>5.515981431085E12</v>
      </c>
      <c r="D56" s="3" t="s">
        <v>193</v>
      </c>
      <c r="E56" s="5">
        <v>16000.3</v>
      </c>
      <c r="F56" s="6"/>
      <c r="G56" s="7">
        <f t="shared" si="1"/>
        <v>16000.3</v>
      </c>
      <c r="H56" s="3" t="s">
        <v>116</v>
      </c>
      <c r="I56" s="3" t="s">
        <v>194</v>
      </c>
      <c r="J56" s="3" t="s">
        <v>70</v>
      </c>
      <c r="K56" s="3" t="s">
        <v>195</v>
      </c>
      <c r="L56" s="3" t="s">
        <v>196</v>
      </c>
      <c r="M56" s="3" t="s">
        <v>197</v>
      </c>
      <c r="N56" s="3" t="s">
        <v>49</v>
      </c>
      <c r="O56" s="3" t="s">
        <v>44</v>
      </c>
      <c r="P56" s="3" t="s">
        <v>32</v>
      </c>
    </row>
    <row r="57" ht="22.5" hidden="1" customHeight="1">
      <c r="A57" s="2">
        <v>1983867.0</v>
      </c>
      <c r="B57" s="3" t="s">
        <v>198</v>
      </c>
      <c r="C57" s="4">
        <v>5.515974054687E12</v>
      </c>
      <c r="D57" s="3" t="s">
        <v>81</v>
      </c>
      <c r="E57" s="5">
        <v>170.0</v>
      </c>
      <c r="F57" s="6"/>
      <c r="G57" s="7">
        <f t="shared" si="1"/>
        <v>170</v>
      </c>
      <c r="H57" s="3" t="s">
        <v>37</v>
      </c>
      <c r="I57" s="3" t="s">
        <v>199</v>
      </c>
      <c r="J57" s="3" t="s">
        <v>32</v>
      </c>
    </row>
    <row r="58" ht="22.5" hidden="1" customHeight="1">
      <c r="A58" s="2">
        <v>1983570.0</v>
      </c>
      <c r="B58" s="3" t="s">
        <v>200</v>
      </c>
      <c r="C58" s="4">
        <v>5.515996770621E12</v>
      </c>
      <c r="D58" s="3" t="s">
        <v>58</v>
      </c>
      <c r="E58" s="5">
        <v>510.0</v>
      </c>
      <c r="F58" s="6"/>
      <c r="G58" s="7">
        <f t="shared" si="1"/>
        <v>510</v>
      </c>
      <c r="H58" s="3" t="s">
        <v>37</v>
      </c>
      <c r="I58" s="3" t="s">
        <v>201</v>
      </c>
      <c r="J58" s="3" t="s">
        <v>61</v>
      </c>
    </row>
    <row r="59" ht="22.5" hidden="1" customHeight="1">
      <c r="A59" s="2">
        <v>1983557.0</v>
      </c>
      <c r="B59" s="3" t="s">
        <v>202</v>
      </c>
      <c r="C59" s="4">
        <v>5.515996093224E12</v>
      </c>
      <c r="D59" s="3" t="s">
        <v>58</v>
      </c>
      <c r="E59" s="5">
        <v>870.0</v>
      </c>
      <c r="F59" s="6"/>
      <c r="G59" s="7">
        <f t="shared" si="1"/>
        <v>870</v>
      </c>
      <c r="H59" s="3" t="s">
        <v>203</v>
      </c>
      <c r="I59" s="3" t="s">
        <v>204</v>
      </c>
      <c r="J59" s="3" t="s">
        <v>32</v>
      </c>
      <c r="K59" s="3" t="s">
        <v>108</v>
      </c>
      <c r="L59" s="3" t="s">
        <v>31</v>
      </c>
      <c r="M59" s="3" t="s">
        <v>32</v>
      </c>
      <c r="N59" s="3" t="s">
        <v>37</v>
      </c>
      <c r="O59" s="3" t="s">
        <v>204</v>
      </c>
      <c r="P59" s="3" t="s">
        <v>32</v>
      </c>
    </row>
    <row r="60" ht="22.5" hidden="1" customHeight="1">
      <c r="A60" s="2">
        <v>1983362.0</v>
      </c>
      <c r="B60" s="3" t="s">
        <v>205</v>
      </c>
      <c r="C60" s="4">
        <v>5.515991588365E12</v>
      </c>
      <c r="D60" s="3" t="s">
        <v>193</v>
      </c>
      <c r="E60" s="5">
        <v>480.0</v>
      </c>
      <c r="F60" s="6"/>
      <c r="G60" s="7">
        <f t="shared" si="1"/>
        <v>480</v>
      </c>
      <c r="H60" s="3" t="s">
        <v>206</v>
      </c>
      <c r="I60" s="3" t="s">
        <v>31</v>
      </c>
      <c r="J60" s="3" t="s">
        <v>32</v>
      </c>
    </row>
    <row r="61" ht="22.5" hidden="1" customHeight="1">
      <c r="A61" s="2">
        <v>1983347.0</v>
      </c>
      <c r="B61" s="3" t="s">
        <v>207</v>
      </c>
      <c r="C61" s="4">
        <v>5.515991588365E12</v>
      </c>
      <c r="D61" s="3" t="s">
        <v>193</v>
      </c>
      <c r="E61" s="5">
        <v>480.0</v>
      </c>
      <c r="F61" s="6"/>
      <c r="G61" s="7">
        <f t="shared" si="1"/>
        <v>480</v>
      </c>
      <c r="H61" s="3" t="s">
        <v>206</v>
      </c>
      <c r="I61" s="3" t="s">
        <v>31</v>
      </c>
      <c r="J61" s="3" t="s">
        <v>32</v>
      </c>
    </row>
    <row r="62" ht="22.5" hidden="1" customHeight="1">
      <c r="A62" s="2">
        <v>1983326.0</v>
      </c>
      <c r="B62" s="3" t="s">
        <v>189</v>
      </c>
      <c r="C62" s="4">
        <v>5.515991600825E12</v>
      </c>
      <c r="D62" s="3" t="s">
        <v>58</v>
      </c>
      <c r="E62" s="5">
        <v>600.0</v>
      </c>
      <c r="F62" s="6"/>
      <c r="G62" s="7">
        <f t="shared" si="1"/>
        <v>600</v>
      </c>
      <c r="H62" s="3" t="s">
        <v>108</v>
      </c>
      <c r="I62" s="3" t="s">
        <v>31</v>
      </c>
      <c r="J62" s="3" t="s">
        <v>32</v>
      </c>
      <c r="K62" s="3" t="s">
        <v>37</v>
      </c>
      <c r="L62" s="3" t="s">
        <v>190</v>
      </c>
      <c r="M62" s="3" t="s">
        <v>61</v>
      </c>
    </row>
    <row r="63" ht="22.5" customHeight="1">
      <c r="A63" s="2">
        <v>1983308.0</v>
      </c>
      <c r="B63" s="3" t="s">
        <v>208</v>
      </c>
      <c r="C63" s="4">
        <v>5.515991698302E12</v>
      </c>
      <c r="D63" s="3" t="s">
        <v>184</v>
      </c>
      <c r="E63" s="5">
        <v>4471.92</v>
      </c>
      <c r="F63" s="6"/>
      <c r="G63" s="7">
        <f t="shared" si="1"/>
        <v>4471.92</v>
      </c>
      <c r="H63" s="3" t="s">
        <v>128</v>
      </c>
      <c r="I63" s="3" t="s">
        <v>31</v>
      </c>
      <c r="J63" s="3" t="s">
        <v>32</v>
      </c>
    </row>
    <row r="64" ht="22.5" hidden="1" customHeight="1">
      <c r="A64" s="2">
        <v>1983301.0</v>
      </c>
      <c r="B64" s="3" t="s">
        <v>209</v>
      </c>
      <c r="C64" s="4">
        <v>5.515991698302E12</v>
      </c>
      <c r="D64" s="3" t="s">
        <v>184</v>
      </c>
      <c r="E64" s="5">
        <v>911.8</v>
      </c>
      <c r="F64" s="6"/>
      <c r="G64" s="7">
        <f t="shared" si="1"/>
        <v>911.8</v>
      </c>
      <c r="H64" s="3" t="s">
        <v>66</v>
      </c>
      <c r="I64" s="3" t="s">
        <v>31</v>
      </c>
      <c r="J64" s="3" t="s">
        <v>32</v>
      </c>
      <c r="K64" s="3" t="s">
        <v>108</v>
      </c>
      <c r="L64" s="3" t="s">
        <v>31</v>
      </c>
      <c r="M64" s="3" t="s">
        <v>32</v>
      </c>
    </row>
    <row r="65" ht="22.5" customHeight="1">
      <c r="A65" s="2">
        <v>1982868.0</v>
      </c>
      <c r="B65" s="3" t="s">
        <v>210</v>
      </c>
      <c r="C65" s="4">
        <v>5.515981136143E12</v>
      </c>
      <c r="D65" s="3" t="s">
        <v>184</v>
      </c>
      <c r="E65" s="5">
        <v>1356.34</v>
      </c>
      <c r="F65" s="6"/>
      <c r="G65" s="7">
        <f t="shared" si="1"/>
        <v>1356.34</v>
      </c>
      <c r="H65" s="3" t="s">
        <v>43</v>
      </c>
      <c r="I65" s="3" t="s">
        <v>44</v>
      </c>
      <c r="J65" s="3" t="s">
        <v>32</v>
      </c>
      <c r="K65" s="3" t="s">
        <v>130</v>
      </c>
      <c r="L65" s="3" t="s">
        <v>34</v>
      </c>
      <c r="M65" s="3" t="s">
        <v>32</v>
      </c>
    </row>
    <row r="66" ht="22.5" customHeight="1">
      <c r="A66" s="2">
        <v>1982629.0</v>
      </c>
      <c r="B66" s="3" t="s">
        <v>211</v>
      </c>
      <c r="C66" s="4">
        <v>5.515988119799E12</v>
      </c>
      <c r="D66" s="3" t="s">
        <v>40</v>
      </c>
      <c r="E66" s="5">
        <v>1025.44</v>
      </c>
      <c r="F66" s="6"/>
      <c r="G66" s="7">
        <f t="shared" si="1"/>
        <v>1025.44</v>
      </c>
      <c r="H66" s="3" t="s">
        <v>212</v>
      </c>
      <c r="I66" s="3" t="s">
        <v>140</v>
      </c>
      <c r="J66" s="3" t="s">
        <v>32</v>
      </c>
      <c r="K66" s="3" t="s">
        <v>108</v>
      </c>
      <c r="L66" s="3" t="s">
        <v>31</v>
      </c>
      <c r="M66" s="3" t="s">
        <v>32</v>
      </c>
      <c r="N66" s="3" t="s">
        <v>37</v>
      </c>
      <c r="O66" s="3" t="s">
        <v>140</v>
      </c>
      <c r="P66" s="3" t="s">
        <v>32</v>
      </c>
    </row>
    <row r="67" ht="22.5" hidden="1" customHeight="1">
      <c r="A67" s="2">
        <v>1981408.0</v>
      </c>
      <c r="B67" s="3" t="s">
        <v>213</v>
      </c>
      <c r="C67" s="4">
        <v>5.515991640864E12</v>
      </c>
      <c r="D67" s="3" t="s">
        <v>40</v>
      </c>
      <c r="E67" s="5">
        <v>150.0</v>
      </c>
      <c r="F67" s="6"/>
      <c r="G67" s="7">
        <f t="shared" si="1"/>
        <v>150</v>
      </c>
      <c r="H67" s="3" t="s">
        <v>108</v>
      </c>
      <c r="I67" s="3" t="s">
        <v>31</v>
      </c>
      <c r="J67" s="3" t="s">
        <v>32</v>
      </c>
    </row>
    <row r="68" ht="22.5" customHeight="1">
      <c r="A68" s="2">
        <v>1981039.0</v>
      </c>
      <c r="B68" s="3" t="s">
        <v>214</v>
      </c>
      <c r="C68" s="4">
        <v>5.515988341418E12</v>
      </c>
      <c r="D68" s="3" t="s">
        <v>89</v>
      </c>
      <c r="E68" s="5">
        <v>10636.13</v>
      </c>
      <c r="F68" s="6"/>
      <c r="G68" s="7">
        <f t="shared" si="1"/>
        <v>10636.13</v>
      </c>
      <c r="H68" s="3" t="s">
        <v>83</v>
      </c>
      <c r="I68" s="3" t="s">
        <v>34</v>
      </c>
      <c r="J68" s="3" t="s">
        <v>32</v>
      </c>
      <c r="K68" s="3" t="s">
        <v>130</v>
      </c>
      <c r="L68" s="3" t="s">
        <v>84</v>
      </c>
      <c r="M68" s="3" t="s">
        <v>32</v>
      </c>
      <c r="N68" s="3" t="s">
        <v>33</v>
      </c>
      <c r="O68" s="3" t="s">
        <v>215</v>
      </c>
      <c r="P68" s="3" t="s">
        <v>56</v>
      </c>
      <c r="Q68" s="3" t="s">
        <v>35</v>
      </c>
      <c r="R68" s="3" t="s">
        <v>215</v>
      </c>
      <c r="S68" s="3" t="s">
        <v>56</v>
      </c>
      <c r="T68" s="3" t="s">
        <v>85</v>
      </c>
      <c r="U68" s="3" t="s">
        <v>34</v>
      </c>
      <c r="V68" s="3" t="s">
        <v>32</v>
      </c>
      <c r="W68" s="3" t="s">
        <v>133</v>
      </c>
      <c r="X68" s="3" t="s">
        <v>84</v>
      </c>
      <c r="Y68" s="3" t="s">
        <v>32</v>
      </c>
      <c r="Z68" s="3" t="s">
        <v>37</v>
      </c>
      <c r="AA68" s="3" t="s">
        <v>216</v>
      </c>
      <c r="AB68" s="3" t="s">
        <v>61</v>
      </c>
    </row>
    <row r="69" ht="22.5" hidden="1" customHeight="1">
      <c r="A69" s="2">
        <v>1980701.0</v>
      </c>
      <c r="B69" s="3" t="s">
        <v>217</v>
      </c>
      <c r="C69" s="4">
        <v>5.515996264468E12</v>
      </c>
      <c r="D69" s="3" t="s">
        <v>89</v>
      </c>
      <c r="E69" s="5">
        <v>600.0</v>
      </c>
      <c r="F69" s="6"/>
      <c r="G69" s="7">
        <f t="shared" si="1"/>
        <v>600</v>
      </c>
      <c r="H69" s="3" t="s">
        <v>218</v>
      </c>
      <c r="I69" s="3" t="s">
        <v>50</v>
      </c>
      <c r="J69" s="3" t="s">
        <v>32</v>
      </c>
    </row>
    <row r="70" ht="22.5" customHeight="1">
      <c r="A70" s="2">
        <v>1980444.0</v>
      </c>
      <c r="B70" s="3" t="s">
        <v>219</v>
      </c>
      <c r="C70" s="4">
        <v>5.515999753059E12</v>
      </c>
      <c r="D70" s="3" t="s">
        <v>76</v>
      </c>
      <c r="E70" s="5">
        <v>1882.28</v>
      </c>
      <c r="F70" s="6"/>
      <c r="G70" s="7">
        <f t="shared" si="1"/>
        <v>1882.28</v>
      </c>
      <c r="H70" s="3" t="s">
        <v>130</v>
      </c>
      <c r="I70" s="3" t="s">
        <v>131</v>
      </c>
      <c r="J70" s="3" t="s">
        <v>32</v>
      </c>
      <c r="K70" s="3" t="s">
        <v>132</v>
      </c>
      <c r="L70" s="3" t="s">
        <v>131</v>
      </c>
      <c r="M70" s="3" t="s">
        <v>32</v>
      </c>
      <c r="N70" s="3" t="s">
        <v>133</v>
      </c>
      <c r="O70" s="3" t="s">
        <v>131</v>
      </c>
      <c r="P70" s="3" t="s">
        <v>32</v>
      </c>
    </row>
    <row r="71" ht="22.5" customHeight="1">
      <c r="A71" s="2">
        <v>1980415.0</v>
      </c>
      <c r="B71" s="3" t="s">
        <v>220</v>
      </c>
      <c r="C71" s="4">
        <v>5.51599185619E12</v>
      </c>
      <c r="D71" s="3" t="s">
        <v>29</v>
      </c>
      <c r="E71" s="5">
        <v>5345.49</v>
      </c>
      <c r="F71" s="6"/>
      <c r="G71" s="7">
        <f t="shared" si="1"/>
        <v>5345.49</v>
      </c>
      <c r="H71" s="3" t="s">
        <v>85</v>
      </c>
      <c r="I71" s="3" t="s">
        <v>221</v>
      </c>
      <c r="J71" s="3" t="s">
        <v>32</v>
      </c>
      <c r="K71" s="3" t="s">
        <v>133</v>
      </c>
      <c r="L71" s="3" t="s">
        <v>92</v>
      </c>
      <c r="M71" s="3" t="s">
        <v>32</v>
      </c>
      <c r="N71" s="3" t="s">
        <v>36</v>
      </c>
      <c r="O71" s="3" t="s">
        <v>31</v>
      </c>
      <c r="P71" s="3" t="s">
        <v>32</v>
      </c>
      <c r="Q71" s="3" t="s">
        <v>222</v>
      </c>
      <c r="R71" s="3" t="s">
        <v>223</v>
      </c>
      <c r="S71" s="3" t="s">
        <v>56</v>
      </c>
      <c r="T71" s="3" t="s">
        <v>41</v>
      </c>
      <c r="U71" s="3" t="s">
        <v>31</v>
      </c>
      <c r="V71" s="3" t="s">
        <v>32</v>
      </c>
    </row>
    <row r="72" ht="22.5" customHeight="1">
      <c r="A72" s="2">
        <v>1980212.0</v>
      </c>
      <c r="B72" s="3" t="s">
        <v>224</v>
      </c>
      <c r="C72" s="4">
        <v>5.515974011288E12</v>
      </c>
      <c r="D72" s="3" t="s">
        <v>29</v>
      </c>
      <c r="E72" s="5">
        <v>1820.0</v>
      </c>
      <c r="F72" s="6"/>
      <c r="G72" s="7">
        <f t="shared" si="1"/>
        <v>1820</v>
      </c>
      <c r="H72" s="3" t="s">
        <v>83</v>
      </c>
      <c r="I72" s="3" t="s">
        <v>225</v>
      </c>
      <c r="J72" s="3" t="s">
        <v>32</v>
      </c>
      <c r="K72" s="3" t="s">
        <v>85</v>
      </c>
      <c r="L72" s="3" t="s">
        <v>225</v>
      </c>
      <c r="M72" s="3" t="s">
        <v>32</v>
      </c>
      <c r="N72" s="3" t="s">
        <v>222</v>
      </c>
      <c r="O72" s="3" t="s">
        <v>225</v>
      </c>
      <c r="P72" s="3" t="s">
        <v>32</v>
      </c>
    </row>
    <row r="73" ht="22.5" customHeight="1">
      <c r="A73" s="2">
        <v>1980185.0</v>
      </c>
      <c r="B73" s="3" t="s">
        <v>226</v>
      </c>
      <c r="C73" s="4">
        <v>5.515974011288E12</v>
      </c>
      <c r="D73" s="3" t="s">
        <v>76</v>
      </c>
      <c r="E73" s="5">
        <v>2199.02</v>
      </c>
      <c r="F73" s="6"/>
      <c r="G73" s="7">
        <f t="shared" si="1"/>
        <v>2199.02</v>
      </c>
      <c r="H73" s="3" t="s">
        <v>108</v>
      </c>
      <c r="I73" s="3" t="s">
        <v>31</v>
      </c>
      <c r="J73" s="3" t="s">
        <v>32</v>
      </c>
      <c r="K73" s="3" t="s">
        <v>36</v>
      </c>
      <c r="L73" s="3" t="s">
        <v>31</v>
      </c>
      <c r="M73" s="3" t="s">
        <v>32</v>
      </c>
      <c r="N73" s="3" t="s">
        <v>37</v>
      </c>
      <c r="O73" s="3" t="s">
        <v>227</v>
      </c>
      <c r="P73" s="3" t="s">
        <v>228</v>
      </c>
    </row>
    <row r="74" ht="22.5" customHeight="1">
      <c r="A74" s="2">
        <v>1979382.0</v>
      </c>
      <c r="B74" s="3" t="s">
        <v>229</v>
      </c>
      <c r="C74" s="4">
        <v>5.515996018294E12</v>
      </c>
      <c r="D74" s="3" t="s">
        <v>58</v>
      </c>
      <c r="E74" s="5">
        <v>2738.44</v>
      </c>
      <c r="F74" s="6"/>
      <c r="G74" s="7">
        <f t="shared" si="1"/>
        <v>2738.44</v>
      </c>
      <c r="H74" s="3" t="s">
        <v>165</v>
      </c>
      <c r="I74" s="3" t="s">
        <v>135</v>
      </c>
      <c r="J74" s="3" t="s">
        <v>56</v>
      </c>
    </row>
    <row r="75" ht="22.5" hidden="1" customHeight="1">
      <c r="A75" s="2">
        <v>1979284.0</v>
      </c>
      <c r="B75" s="3" t="s">
        <v>230</v>
      </c>
      <c r="C75" s="4">
        <v>5.51598174611E12</v>
      </c>
      <c r="D75" s="3" t="s">
        <v>58</v>
      </c>
      <c r="E75" s="5">
        <v>400.0</v>
      </c>
      <c r="F75" s="6"/>
      <c r="G75" s="7">
        <f t="shared" si="1"/>
        <v>400</v>
      </c>
      <c r="H75" s="3" t="s">
        <v>95</v>
      </c>
      <c r="I75" s="3" t="s">
        <v>44</v>
      </c>
      <c r="J75" s="3" t="s">
        <v>32</v>
      </c>
    </row>
    <row r="76" ht="22.5" customHeight="1">
      <c r="A76" s="2">
        <v>1979279.0</v>
      </c>
      <c r="B76" s="3" t="s">
        <v>231</v>
      </c>
      <c r="C76" s="4">
        <v>5.515991830664E12</v>
      </c>
      <c r="D76" s="3" t="s">
        <v>58</v>
      </c>
      <c r="E76" s="5">
        <v>1870.0</v>
      </c>
      <c r="F76" s="6"/>
      <c r="G76" s="7">
        <f t="shared" si="1"/>
        <v>1870</v>
      </c>
      <c r="H76" s="3" t="s">
        <v>132</v>
      </c>
      <c r="I76" s="3" t="s">
        <v>131</v>
      </c>
      <c r="J76" s="3" t="s">
        <v>32</v>
      </c>
      <c r="K76" s="3" t="s">
        <v>108</v>
      </c>
      <c r="L76" s="3" t="s">
        <v>31</v>
      </c>
      <c r="M76" s="3" t="s">
        <v>32</v>
      </c>
      <c r="N76" s="3" t="s">
        <v>36</v>
      </c>
      <c r="O76" s="3" t="s">
        <v>31</v>
      </c>
      <c r="P76" s="3" t="s">
        <v>32</v>
      </c>
      <c r="Q76" s="3" t="s">
        <v>37</v>
      </c>
      <c r="R76" s="3" t="s">
        <v>232</v>
      </c>
      <c r="S76" s="3" t="s">
        <v>170</v>
      </c>
    </row>
    <row r="77" ht="22.5" hidden="1" customHeight="1">
      <c r="A77" s="2">
        <v>1979263.0</v>
      </c>
      <c r="B77" s="3" t="s">
        <v>233</v>
      </c>
      <c r="C77" s="4">
        <v>5.514997813194E12</v>
      </c>
      <c r="D77" s="3" t="s">
        <v>58</v>
      </c>
      <c r="E77" s="5">
        <v>472.96</v>
      </c>
      <c r="F77" s="6"/>
      <c r="G77" s="7">
        <f t="shared" si="1"/>
        <v>472.96</v>
      </c>
      <c r="H77" s="3" t="s">
        <v>108</v>
      </c>
      <c r="I77" s="3" t="s">
        <v>31</v>
      </c>
      <c r="J77" s="3" t="s">
        <v>32</v>
      </c>
      <c r="K77" s="3" t="s">
        <v>36</v>
      </c>
      <c r="L77" s="3" t="s">
        <v>31</v>
      </c>
      <c r="M77" s="3" t="s">
        <v>32</v>
      </c>
      <c r="N77" s="3" t="s">
        <v>37</v>
      </c>
      <c r="O77" s="3" t="s">
        <v>234</v>
      </c>
      <c r="P77" s="3" t="s">
        <v>32</v>
      </c>
    </row>
    <row r="78" ht="22.5" customHeight="1">
      <c r="A78" s="2">
        <v>1979261.0</v>
      </c>
      <c r="B78" s="3" t="s">
        <v>235</v>
      </c>
      <c r="C78" s="4">
        <v>5.515996060597E12</v>
      </c>
      <c r="D78" s="3" t="s">
        <v>58</v>
      </c>
      <c r="E78" s="5">
        <v>1269.6</v>
      </c>
      <c r="F78" s="6"/>
      <c r="G78" s="7">
        <f t="shared" si="1"/>
        <v>1269.6</v>
      </c>
      <c r="H78" s="3" t="s">
        <v>108</v>
      </c>
      <c r="I78" s="3" t="s">
        <v>31</v>
      </c>
      <c r="J78" s="3" t="s">
        <v>32</v>
      </c>
      <c r="K78" s="3" t="s">
        <v>36</v>
      </c>
      <c r="L78" s="3" t="s">
        <v>31</v>
      </c>
      <c r="M78" s="3" t="s">
        <v>32</v>
      </c>
      <c r="N78" s="3" t="s">
        <v>37</v>
      </c>
      <c r="O78" s="3" t="s">
        <v>236</v>
      </c>
      <c r="P78" s="3" t="s">
        <v>170</v>
      </c>
    </row>
    <row r="79" ht="22.5" customHeight="1">
      <c r="A79" s="2">
        <v>1979241.0</v>
      </c>
      <c r="B79" s="3" t="s">
        <v>237</v>
      </c>
      <c r="C79" s="4">
        <v>5.515998481029E12</v>
      </c>
      <c r="D79" s="3" t="s">
        <v>58</v>
      </c>
      <c r="E79" s="5">
        <v>3743.89</v>
      </c>
      <c r="F79" s="6"/>
      <c r="G79" s="7">
        <f t="shared" si="1"/>
        <v>3743.89</v>
      </c>
      <c r="H79" s="3" t="s">
        <v>165</v>
      </c>
      <c r="I79" s="3" t="s">
        <v>135</v>
      </c>
      <c r="J79" s="3" t="s">
        <v>56</v>
      </c>
    </row>
    <row r="80" ht="22.5" customHeight="1">
      <c r="D80" s="16" t="s">
        <v>238</v>
      </c>
      <c r="E80" s="17">
        <f>SUM(E2:E79)</f>
        <v>257130.33</v>
      </c>
      <c r="F80" s="18" t="s">
        <v>239</v>
      </c>
      <c r="G80" s="19">
        <f>SUM(G2:G79)</f>
        <v>257130.33</v>
      </c>
    </row>
    <row r="81" ht="22.5" hidden="1" customHeight="1">
      <c r="E81" s="7"/>
      <c r="F81" s="20"/>
      <c r="G81" s="7"/>
    </row>
    <row r="82" ht="22.5" hidden="1" customHeight="1">
      <c r="E82" s="7"/>
      <c r="F82" s="20"/>
      <c r="G82" s="7"/>
    </row>
    <row r="83" ht="22.5" hidden="1" customHeight="1">
      <c r="E83" s="7"/>
      <c r="F83" s="20"/>
      <c r="G83" s="7"/>
    </row>
    <row r="84" ht="22.5" hidden="1" customHeight="1">
      <c r="E84" s="7"/>
      <c r="F84" s="20"/>
      <c r="G84" s="7"/>
    </row>
    <row r="85" ht="22.5" hidden="1" customHeight="1">
      <c r="E85" s="7"/>
      <c r="F85" s="20"/>
      <c r="G85" s="7"/>
    </row>
    <row r="86" ht="22.5" hidden="1" customHeight="1">
      <c r="E86" s="7"/>
      <c r="F86" s="20"/>
      <c r="G86" s="7"/>
    </row>
    <row r="87" ht="22.5" hidden="1" customHeight="1">
      <c r="E87" s="7"/>
      <c r="F87" s="20"/>
      <c r="G87" s="7"/>
    </row>
    <row r="88" ht="22.5" hidden="1" customHeight="1">
      <c r="E88" s="7"/>
      <c r="F88" s="20"/>
      <c r="G88" s="7"/>
    </row>
    <row r="89" ht="22.5" hidden="1" customHeight="1">
      <c r="E89" s="7"/>
      <c r="F89" s="20"/>
      <c r="G89" s="7"/>
    </row>
    <row r="90" ht="22.5" hidden="1" customHeight="1">
      <c r="E90" s="7"/>
      <c r="F90" s="20"/>
      <c r="G90" s="7"/>
    </row>
    <row r="91" ht="22.5" hidden="1" customHeight="1">
      <c r="E91" s="7"/>
      <c r="F91" s="20"/>
      <c r="G91" s="7"/>
    </row>
    <row r="92" ht="22.5" hidden="1" customHeight="1">
      <c r="E92" s="7"/>
      <c r="F92" s="20"/>
      <c r="G92" s="7"/>
    </row>
    <row r="93" ht="22.5" hidden="1" customHeight="1">
      <c r="E93" s="7"/>
      <c r="F93" s="20"/>
      <c r="G93" s="7"/>
    </row>
    <row r="94" ht="22.5" hidden="1" customHeight="1">
      <c r="E94" s="7"/>
      <c r="F94" s="20"/>
      <c r="G94" s="7"/>
    </row>
    <row r="95" ht="22.5" hidden="1" customHeight="1">
      <c r="E95" s="7"/>
      <c r="F95" s="20"/>
      <c r="G95" s="7"/>
    </row>
    <row r="96" ht="22.5" hidden="1" customHeight="1">
      <c r="E96" s="7"/>
      <c r="F96" s="20"/>
      <c r="G96" s="7"/>
    </row>
    <row r="97" ht="22.5" hidden="1" customHeight="1">
      <c r="E97" s="7"/>
      <c r="F97" s="20"/>
      <c r="G97" s="7"/>
    </row>
    <row r="98" ht="22.5" hidden="1" customHeight="1">
      <c r="E98" s="7"/>
      <c r="F98" s="20"/>
      <c r="G98" s="7"/>
    </row>
    <row r="99" ht="22.5" hidden="1" customHeight="1">
      <c r="E99" s="7"/>
      <c r="F99" s="20"/>
      <c r="G99" s="7"/>
    </row>
    <row r="100" ht="22.5" hidden="1" customHeight="1">
      <c r="E100" s="7"/>
      <c r="F100" s="20"/>
      <c r="G100" s="7"/>
    </row>
    <row r="101" ht="22.5" hidden="1" customHeight="1">
      <c r="E101" s="7"/>
      <c r="F101" s="20"/>
      <c r="G101" s="7"/>
    </row>
    <row r="102" ht="22.5" hidden="1" customHeight="1">
      <c r="E102" s="7"/>
      <c r="F102" s="20"/>
      <c r="G102" s="7"/>
    </row>
    <row r="103" ht="22.5" hidden="1" customHeight="1">
      <c r="E103" s="7"/>
      <c r="F103" s="20"/>
      <c r="G103" s="7"/>
    </row>
    <row r="104" ht="22.5" hidden="1" customHeight="1">
      <c r="E104" s="7"/>
      <c r="F104" s="20"/>
      <c r="G104" s="7"/>
    </row>
    <row r="105" ht="22.5" hidden="1" customHeight="1">
      <c r="E105" s="7"/>
      <c r="F105" s="20"/>
      <c r="G105" s="7"/>
    </row>
    <row r="106" ht="22.5" hidden="1" customHeight="1">
      <c r="E106" s="7"/>
      <c r="F106" s="20"/>
      <c r="G106" s="7"/>
    </row>
    <row r="107" ht="22.5" hidden="1" customHeight="1">
      <c r="E107" s="7"/>
      <c r="F107" s="20"/>
      <c r="G107" s="7"/>
    </row>
    <row r="108" ht="22.5" hidden="1" customHeight="1">
      <c r="E108" s="7"/>
      <c r="F108" s="20"/>
      <c r="G108" s="7"/>
    </row>
    <row r="109" ht="22.5" hidden="1" customHeight="1">
      <c r="E109" s="7"/>
      <c r="F109" s="20"/>
      <c r="G109" s="7"/>
    </row>
    <row r="110" ht="22.5" hidden="1" customHeight="1">
      <c r="E110" s="7"/>
      <c r="F110" s="20"/>
      <c r="G110" s="7"/>
    </row>
    <row r="111" ht="22.5" hidden="1" customHeight="1">
      <c r="E111" s="7"/>
      <c r="F111" s="20"/>
      <c r="G111" s="7"/>
    </row>
    <row r="112" ht="22.5" hidden="1" customHeight="1">
      <c r="E112" s="7"/>
      <c r="F112" s="20"/>
      <c r="G112" s="7"/>
    </row>
    <row r="113" ht="22.5" hidden="1" customHeight="1">
      <c r="E113" s="7"/>
      <c r="F113" s="20"/>
      <c r="G113" s="7"/>
    </row>
    <row r="114" ht="22.5" hidden="1" customHeight="1">
      <c r="E114" s="7"/>
      <c r="F114" s="20"/>
      <c r="G114" s="7"/>
    </row>
    <row r="115" ht="22.5" hidden="1" customHeight="1">
      <c r="E115" s="7"/>
      <c r="F115" s="20"/>
      <c r="G115" s="7"/>
    </row>
    <row r="116" ht="22.5" hidden="1" customHeight="1">
      <c r="E116" s="7"/>
      <c r="F116" s="20"/>
      <c r="G116" s="7"/>
    </row>
    <row r="117" ht="22.5" hidden="1" customHeight="1">
      <c r="E117" s="7"/>
      <c r="F117" s="20"/>
      <c r="G117" s="7"/>
    </row>
    <row r="118" ht="22.5" hidden="1" customHeight="1">
      <c r="E118" s="7"/>
      <c r="F118" s="20"/>
      <c r="G118" s="7"/>
    </row>
    <row r="119" ht="22.5" hidden="1" customHeight="1">
      <c r="E119" s="7"/>
      <c r="F119" s="20"/>
      <c r="G119" s="7"/>
    </row>
    <row r="120" ht="22.5" hidden="1" customHeight="1">
      <c r="E120" s="7"/>
      <c r="F120" s="20"/>
      <c r="G120" s="7"/>
    </row>
    <row r="121" ht="22.5" hidden="1" customHeight="1">
      <c r="E121" s="7"/>
      <c r="F121" s="20"/>
      <c r="G121" s="7"/>
    </row>
    <row r="122" ht="22.5" hidden="1" customHeight="1">
      <c r="E122" s="7"/>
      <c r="F122" s="20"/>
      <c r="G122" s="7"/>
    </row>
    <row r="123" ht="22.5" hidden="1" customHeight="1">
      <c r="E123" s="7"/>
      <c r="F123" s="20"/>
      <c r="G123" s="7"/>
    </row>
    <row r="124" ht="22.5" hidden="1" customHeight="1">
      <c r="E124" s="7"/>
      <c r="F124" s="20"/>
      <c r="G124" s="7"/>
    </row>
    <row r="125" ht="22.5" hidden="1" customHeight="1">
      <c r="E125" s="7"/>
      <c r="F125" s="20"/>
      <c r="G125" s="7"/>
    </row>
    <row r="126" ht="22.5" hidden="1" customHeight="1">
      <c r="E126" s="7"/>
      <c r="F126" s="20"/>
      <c r="G126" s="7"/>
    </row>
    <row r="127" ht="22.5" hidden="1" customHeight="1">
      <c r="E127" s="7"/>
      <c r="F127" s="20"/>
      <c r="G127" s="7"/>
    </row>
    <row r="128" ht="22.5" hidden="1" customHeight="1">
      <c r="E128" s="7"/>
      <c r="F128" s="20"/>
      <c r="G128" s="7"/>
    </row>
    <row r="129" ht="22.5" hidden="1" customHeight="1">
      <c r="E129" s="7"/>
      <c r="F129" s="20"/>
      <c r="G129" s="7"/>
    </row>
    <row r="130" ht="22.5" hidden="1" customHeight="1">
      <c r="E130" s="7"/>
      <c r="F130" s="20"/>
      <c r="G130" s="7"/>
    </row>
    <row r="131" ht="22.5" hidden="1" customHeight="1">
      <c r="E131" s="7"/>
      <c r="F131" s="20"/>
      <c r="G131" s="7"/>
    </row>
    <row r="132" ht="22.5" hidden="1" customHeight="1">
      <c r="E132" s="7"/>
      <c r="F132" s="20"/>
      <c r="G132" s="7"/>
    </row>
    <row r="133" ht="22.5" hidden="1" customHeight="1">
      <c r="E133" s="7"/>
      <c r="F133" s="20"/>
      <c r="G133" s="7"/>
    </row>
    <row r="134" ht="22.5" hidden="1" customHeight="1">
      <c r="E134" s="7"/>
      <c r="F134" s="20"/>
      <c r="G134" s="7"/>
    </row>
    <row r="135" ht="22.5" hidden="1" customHeight="1">
      <c r="E135" s="7"/>
      <c r="F135" s="20"/>
      <c r="G135" s="7"/>
    </row>
    <row r="136" ht="22.5" hidden="1" customHeight="1">
      <c r="E136" s="7"/>
      <c r="F136" s="20"/>
      <c r="G136" s="7"/>
    </row>
    <row r="137" ht="22.5" hidden="1" customHeight="1">
      <c r="E137" s="7"/>
      <c r="F137" s="20"/>
      <c r="G137" s="7"/>
    </row>
    <row r="138" ht="22.5" hidden="1" customHeight="1">
      <c r="E138" s="7"/>
      <c r="F138" s="20"/>
      <c r="G138" s="7"/>
    </row>
    <row r="139" ht="22.5" hidden="1" customHeight="1">
      <c r="E139" s="7"/>
      <c r="F139" s="20"/>
      <c r="G139" s="7"/>
    </row>
    <row r="140" ht="22.5" hidden="1" customHeight="1">
      <c r="E140" s="7"/>
      <c r="F140" s="20"/>
      <c r="G140" s="7"/>
    </row>
    <row r="141" ht="22.5" hidden="1" customHeight="1">
      <c r="E141" s="7"/>
      <c r="F141" s="20"/>
      <c r="G141" s="7"/>
    </row>
    <row r="142" ht="22.5" hidden="1" customHeight="1">
      <c r="E142" s="7"/>
      <c r="F142" s="20"/>
      <c r="G142" s="7"/>
    </row>
    <row r="143" ht="22.5" hidden="1" customHeight="1">
      <c r="E143" s="7"/>
      <c r="F143" s="20"/>
      <c r="G143" s="7"/>
    </row>
    <row r="144" ht="22.5" hidden="1" customHeight="1">
      <c r="E144" s="7"/>
      <c r="F144" s="20"/>
      <c r="G144" s="7"/>
    </row>
    <row r="145" ht="22.5" hidden="1" customHeight="1">
      <c r="E145" s="7"/>
      <c r="F145" s="20"/>
      <c r="G145" s="7"/>
    </row>
    <row r="146" ht="22.5" hidden="1" customHeight="1">
      <c r="E146" s="7"/>
      <c r="F146" s="20"/>
      <c r="G146" s="7"/>
    </row>
    <row r="147" ht="22.5" hidden="1" customHeight="1">
      <c r="E147" s="7"/>
      <c r="F147" s="20"/>
      <c r="G147" s="7"/>
    </row>
    <row r="148" ht="22.5" hidden="1" customHeight="1">
      <c r="E148" s="7"/>
      <c r="F148" s="20"/>
      <c r="G148" s="7"/>
    </row>
    <row r="149" ht="22.5" hidden="1" customHeight="1">
      <c r="E149" s="7"/>
      <c r="F149" s="20"/>
      <c r="G149" s="7"/>
    </row>
    <row r="150" ht="22.5" hidden="1" customHeight="1">
      <c r="E150" s="7"/>
      <c r="F150" s="20"/>
      <c r="G150" s="7"/>
    </row>
    <row r="151" ht="22.5" hidden="1" customHeight="1">
      <c r="E151" s="7"/>
      <c r="F151" s="20"/>
      <c r="G151" s="7"/>
    </row>
    <row r="152" ht="22.5" hidden="1" customHeight="1">
      <c r="E152" s="7"/>
      <c r="F152" s="20"/>
      <c r="G152" s="7"/>
    </row>
    <row r="153" ht="22.5" hidden="1" customHeight="1">
      <c r="E153" s="7"/>
      <c r="F153" s="20"/>
      <c r="G153" s="7"/>
    </row>
    <row r="154" ht="22.5" hidden="1" customHeight="1">
      <c r="E154" s="7"/>
      <c r="F154" s="20"/>
      <c r="G154" s="7"/>
    </row>
    <row r="155" ht="22.5" hidden="1" customHeight="1">
      <c r="E155" s="7"/>
      <c r="F155" s="20"/>
      <c r="G155" s="7"/>
    </row>
    <row r="156" ht="22.5" hidden="1" customHeight="1">
      <c r="E156" s="7"/>
      <c r="F156" s="20"/>
      <c r="G156" s="7"/>
    </row>
    <row r="157" ht="22.5" hidden="1" customHeight="1">
      <c r="E157" s="7"/>
      <c r="F157" s="20"/>
      <c r="G157" s="7"/>
    </row>
    <row r="158" ht="22.5" hidden="1" customHeight="1">
      <c r="E158" s="7"/>
      <c r="F158" s="20"/>
      <c r="G158" s="7"/>
    </row>
    <row r="159" ht="22.5" hidden="1" customHeight="1">
      <c r="E159" s="7"/>
      <c r="F159" s="20"/>
      <c r="G159" s="7"/>
    </row>
    <row r="160" ht="22.5" hidden="1" customHeight="1">
      <c r="E160" s="7"/>
      <c r="F160" s="20"/>
      <c r="G160" s="7"/>
    </row>
    <row r="161" ht="22.5" hidden="1" customHeight="1">
      <c r="E161" s="7"/>
      <c r="F161" s="20"/>
      <c r="G161" s="7"/>
    </row>
    <row r="162" ht="22.5" hidden="1" customHeight="1">
      <c r="E162" s="7"/>
      <c r="F162" s="20"/>
      <c r="G162" s="7"/>
    </row>
    <row r="163" ht="22.5" hidden="1" customHeight="1">
      <c r="E163" s="7"/>
      <c r="F163" s="20"/>
      <c r="G163" s="7"/>
    </row>
    <row r="164" ht="22.5" hidden="1" customHeight="1">
      <c r="E164" s="7"/>
      <c r="F164" s="20"/>
      <c r="G164" s="7"/>
    </row>
    <row r="165" ht="22.5" hidden="1" customHeight="1">
      <c r="E165" s="7"/>
      <c r="F165" s="20"/>
      <c r="G165" s="7"/>
    </row>
    <row r="166" ht="22.5" hidden="1" customHeight="1">
      <c r="E166" s="7"/>
      <c r="F166" s="20"/>
      <c r="G166" s="7"/>
    </row>
    <row r="167" ht="22.5" hidden="1" customHeight="1">
      <c r="E167" s="7"/>
      <c r="F167" s="20"/>
      <c r="G167" s="7"/>
    </row>
    <row r="168" ht="22.5" hidden="1" customHeight="1">
      <c r="E168" s="7"/>
      <c r="F168" s="20"/>
      <c r="G168" s="7"/>
    </row>
    <row r="169" ht="22.5" hidden="1" customHeight="1">
      <c r="E169" s="7"/>
      <c r="F169" s="20"/>
      <c r="G169" s="7"/>
    </row>
    <row r="170" ht="22.5" hidden="1" customHeight="1">
      <c r="E170" s="7"/>
      <c r="F170" s="20"/>
      <c r="G170" s="7"/>
    </row>
    <row r="171" ht="22.5" hidden="1" customHeight="1">
      <c r="E171" s="7"/>
      <c r="F171" s="20"/>
      <c r="G171" s="7"/>
    </row>
    <row r="172" ht="22.5" hidden="1" customHeight="1">
      <c r="E172" s="7"/>
      <c r="F172" s="20"/>
      <c r="G172" s="7"/>
    </row>
    <row r="173" ht="22.5" hidden="1" customHeight="1">
      <c r="E173" s="7"/>
      <c r="F173" s="20"/>
      <c r="G173" s="7"/>
    </row>
    <row r="174" ht="22.5" hidden="1" customHeight="1">
      <c r="E174" s="7"/>
      <c r="F174" s="20"/>
      <c r="G174" s="7"/>
    </row>
    <row r="175" ht="22.5" hidden="1" customHeight="1">
      <c r="E175" s="7"/>
      <c r="F175" s="20"/>
      <c r="G175" s="7"/>
    </row>
    <row r="176" ht="22.5" hidden="1" customHeight="1">
      <c r="E176" s="7"/>
      <c r="F176" s="20"/>
      <c r="G176" s="7"/>
    </row>
    <row r="177" ht="22.5" hidden="1" customHeight="1">
      <c r="E177" s="7"/>
      <c r="F177" s="20"/>
      <c r="G177" s="7"/>
    </row>
    <row r="178" ht="22.5" hidden="1" customHeight="1">
      <c r="E178" s="7"/>
      <c r="F178" s="20"/>
      <c r="G178" s="7"/>
    </row>
    <row r="179" ht="22.5" hidden="1" customHeight="1">
      <c r="E179" s="7"/>
      <c r="F179" s="20"/>
      <c r="G179" s="7"/>
    </row>
    <row r="180" ht="22.5" hidden="1" customHeight="1">
      <c r="E180" s="7"/>
      <c r="F180" s="20"/>
      <c r="G180" s="7"/>
    </row>
    <row r="181" ht="22.5" hidden="1" customHeight="1">
      <c r="E181" s="7"/>
      <c r="F181" s="20"/>
      <c r="G181" s="7"/>
    </row>
    <row r="182" ht="22.5" hidden="1" customHeight="1">
      <c r="E182" s="7"/>
      <c r="F182" s="20"/>
      <c r="G182" s="7"/>
    </row>
    <row r="183" ht="22.5" hidden="1" customHeight="1">
      <c r="E183" s="7"/>
      <c r="F183" s="20"/>
      <c r="G183" s="7"/>
    </row>
    <row r="184" ht="22.5" hidden="1" customHeight="1">
      <c r="E184" s="7"/>
      <c r="F184" s="20"/>
      <c r="G184" s="7"/>
    </row>
    <row r="185" ht="22.5" hidden="1" customHeight="1">
      <c r="E185" s="7"/>
      <c r="F185" s="20"/>
      <c r="G185" s="7"/>
    </row>
    <row r="186" ht="22.5" hidden="1" customHeight="1">
      <c r="E186" s="7"/>
      <c r="F186" s="20"/>
      <c r="G186" s="7"/>
    </row>
    <row r="187" ht="22.5" hidden="1" customHeight="1">
      <c r="E187" s="7"/>
      <c r="F187" s="20"/>
      <c r="G187" s="7"/>
    </row>
    <row r="188" ht="22.5" hidden="1" customHeight="1">
      <c r="E188" s="7"/>
      <c r="F188" s="20"/>
      <c r="G188" s="7"/>
    </row>
    <row r="189" ht="22.5" hidden="1" customHeight="1">
      <c r="E189" s="7"/>
      <c r="F189" s="20"/>
      <c r="G189" s="7"/>
    </row>
    <row r="190" ht="22.5" hidden="1" customHeight="1">
      <c r="E190" s="7"/>
      <c r="F190" s="20"/>
      <c r="G190" s="7"/>
    </row>
    <row r="191" ht="22.5" hidden="1" customHeight="1">
      <c r="E191" s="7"/>
      <c r="F191" s="20"/>
      <c r="G191" s="7"/>
    </row>
    <row r="192" ht="22.5" hidden="1" customHeight="1">
      <c r="E192" s="7"/>
      <c r="F192" s="20"/>
      <c r="G192" s="7"/>
    </row>
    <row r="193" ht="22.5" hidden="1" customHeight="1">
      <c r="E193" s="7"/>
      <c r="F193" s="20"/>
      <c r="G193" s="7"/>
    </row>
    <row r="194" ht="22.5" hidden="1" customHeight="1">
      <c r="E194" s="7"/>
      <c r="F194" s="20"/>
      <c r="G194" s="7"/>
    </row>
    <row r="195" ht="22.5" hidden="1" customHeight="1">
      <c r="E195" s="7"/>
      <c r="F195" s="20"/>
      <c r="G195" s="7"/>
    </row>
    <row r="196" ht="22.5" hidden="1" customHeight="1">
      <c r="E196" s="7"/>
      <c r="F196" s="20"/>
      <c r="G196" s="7"/>
    </row>
    <row r="197" ht="22.5" hidden="1" customHeight="1">
      <c r="E197" s="7"/>
      <c r="F197" s="20"/>
      <c r="G197" s="7"/>
    </row>
    <row r="198" ht="22.5" hidden="1" customHeight="1">
      <c r="E198" s="7"/>
      <c r="F198" s="20"/>
      <c r="G198" s="7"/>
    </row>
    <row r="199" ht="22.5" hidden="1" customHeight="1">
      <c r="E199" s="7"/>
      <c r="F199" s="20"/>
      <c r="G199" s="7"/>
    </row>
    <row r="200" ht="22.5" hidden="1" customHeight="1">
      <c r="E200" s="7"/>
      <c r="F200" s="20"/>
      <c r="G200" s="7"/>
    </row>
    <row r="201" ht="22.5" hidden="1" customHeight="1">
      <c r="E201" s="7"/>
      <c r="F201" s="20"/>
      <c r="G201" s="7"/>
    </row>
    <row r="202" ht="22.5" hidden="1" customHeight="1">
      <c r="E202" s="7"/>
      <c r="F202" s="20"/>
      <c r="G202" s="7"/>
    </row>
    <row r="203" ht="22.5" hidden="1" customHeight="1">
      <c r="E203" s="7"/>
      <c r="F203" s="20"/>
      <c r="G203" s="7"/>
    </row>
    <row r="204" ht="22.5" hidden="1" customHeight="1">
      <c r="E204" s="7"/>
      <c r="F204" s="20"/>
      <c r="G204" s="7"/>
    </row>
    <row r="205" ht="22.5" hidden="1" customHeight="1">
      <c r="E205" s="7"/>
      <c r="F205" s="20"/>
      <c r="G205" s="7"/>
    </row>
    <row r="206" ht="22.5" hidden="1" customHeight="1">
      <c r="E206" s="7"/>
      <c r="F206" s="20"/>
      <c r="G206" s="7"/>
    </row>
    <row r="207" ht="22.5" hidden="1" customHeight="1">
      <c r="E207" s="7"/>
      <c r="F207" s="20"/>
      <c r="G207" s="7"/>
    </row>
    <row r="208" ht="22.5" hidden="1" customHeight="1">
      <c r="E208" s="7"/>
      <c r="F208" s="20"/>
      <c r="G208" s="7"/>
    </row>
    <row r="209" ht="22.5" hidden="1" customHeight="1">
      <c r="E209" s="7"/>
      <c r="F209" s="20"/>
      <c r="G209" s="7"/>
    </row>
    <row r="210" ht="22.5" hidden="1" customHeight="1">
      <c r="E210" s="7"/>
      <c r="F210" s="20"/>
      <c r="G210" s="7"/>
    </row>
    <row r="211" ht="22.5" hidden="1" customHeight="1">
      <c r="E211" s="7"/>
      <c r="F211" s="20"/>
      <c r="G211" s="7"/>
    </row>
    <row r="212" ht="22.5" hidden="1" customHeight="1">
      <c r="E212" s="7"/>
      <c r="F212" s="20"/>
      <c r="G212" s="7"/>
    </row>
    <row r="213" ht="22.5" hidden="1" customHeight="1">
      <c r="E213" s="7"/>
      <c r="F213" s="20"/>
      <c r="G213" s="7"/>
    </row>
    <row r="214" ht="22.5" hidden="1" customHeight="1">
      <c r="E214" s="7"/>
      <c r="F214" s="20"/>
      <c r="G214" s="7"/>
    </row>
    <row r="215" ht="22.5" hidden="1" customHeight="1">
      <c r="E215" s="7"/>
      <c r="F215" s="20"/>
      <c r="G215" s="7"/>
    </row>
    <row r="216" ht="22.5" hidden="1" customHeight="1">
      <c r="E216" s="7"/>
      <c r="F216" s="20"/>
      <c r="G216" s="7"/>
    </row>
    <row r="217" ht="22.5" hidden="1" customHeight="1">
      <c r="E217" s="7"/>
      <c r="F217" s="20"/>
      <c r="G217" s="7"/>
    </row>
    <row r="218" ht="22.5" hidden="1" customHeight="1">
      <c r="E218" s="7"/>
      <c r="F218" s="20"/>
      <c r="G218" s="7"/>
    </row>
    <row r="219" ht="22.5" hidden="1" customHeight="1">
      <c r="E219" s="7"/>
      <c r="F219" s="20"/>
      <c r="G219" s="7"/>
    </row>
    <row r="220" ht="22.5" hidden="1" customHeight="1">
      <c r="E220" s="7"/>
      <c r="F220" s="20"/>
      <c r="G220" s="7"/>
    </row>
    <row r="221" ht="22.5" hidden="1" customHeight="1">
      <c r="E221" s="7"/>
      <c r="F221" s="20"/>
      <c r="G221" s="7"/>
    </row>
    <row r="222" ht="22.5" hidden="1" customHeight="1">
      <c r="E222" s="7"/>
      <c r="F222" s="20"/>
      <c r="G222" s="7"/>
    </row>
    <row r="223" ht="22.5" hidden="1" customHeight="1">
      <c r="E223" s="7"/>
      <c r="F223" s="20"/>
      <c r="G223" s="7"/>
    </row>
    <row r="224" ht="22.5" hidden="1" customHeight="1">
      <c r="E224" s="7"/>
      <c r="F224" s="20"/>
      <c r="G224" s="7"/>
    </row>
    <row r="225" ht="22.5" hidden="1" customHeight="1">
      <c r="E225" s="7"/>
      <c r="F225" s="20"/>
      <c r="G225" s="7"/>
    </row>
    <row r="226" ht="22.5" hidden="1" customHeight="1">
      <c r="E226" s="7"/>
      <c r="F226" s="20"/>
      <c r="G226" s="7"/>
    </row>
    <row r="227" ht="22.5" hidden="1" customHeight="1">
      <c r="E227" s="7"/>
      <c r="F227" s="20"/>
      <c r="G227" s="7"/>
    </row>
    <row r="228" ht="22.5" hidden="1" customHeight="1">
      <c r="E228" s="7"/>
      <c r="F228" s="20"/>
      <c r="G228" s="7"/>
    </row>
    <row r="229" ht="22.5" hidden="1" customHeight="1">
      <c r="E229" s="7"/>
      <c r="F229" s="20"/>
      <c r="G229" s="7"/>
    </row>
    <row r="230" ht="22.5" hidden="1" customHeight="1">
      <c r="E230" s="7"/>
      <c r="F230" s="20"/>
      <c r="G230" s="7"/>
    </row>
    <row r="231" ht="22.5" hidden="1" customHeight="1">
      <c r="E231" s="7"/>
      <c r="F231" s="20"/>
      <c r="G231" s="7"/>
    </row>
    <row r="232" ht="22.5" hidden="1" customHeight="1">
      <c r="E232" s="7"/>
      <c r="F232" s="20"/>
      <c r="G232" s="7"/>
    </row>
    <row r="233" ht="22.5" hidden="1" customHeight="1">
      <c r="E233" s="7"/>
      <c r="F233" s="20"/>
      <c r="G233" s="7"/>
    </row>
    <row r="234" ht="22.5" hidden="1" customHeight="1">
      <c r="E234" s="7"/>
      <c r="F234" s="20"/>
      <c r="G234" s="7"/>
    </row>
    <row r="235" ht="22.5" hidden="1" customHeight="1">
      <c r="E235" s="7"/>
      <c r="F235" s="20"/>
      <c r="G235" s="7"/>
    </row>
    <row r="236" ht="22.5" hidden="1" customHeight="1">
      <c r="E236" s="7"/>
      <c r="F236" s="20"/>
      <c r="G236" s="7"/>
    </row>
    <row r="237" ht="22.5" hidden="1" customHeight="1">
      <c r="E237" s="7"/>
      <c r="F237" s="20"/>
      <c r="G237" s="7"/>
    </row>
    <row r="238" ht="22.5" hidden="1" customHeight="1">
      <c r="E238" s="7"/>
      <c r="F238" s="20"/>
      <c r="G238" s="7"/>
    </row>
    <row r="239" ht="22.5" hidden="1" customHeight="1">
      <c r="E239" s="7"/>
      <c r="F239" s="20"/>
      <c r="G239" s="7"/>
    </row>
    <row r="240" ht="22.5" hidden="1" customHeight="1">
      <c r="E240" s="7"/>
      <c r="F240" s="20"/>
      <c r="G240" s="7"/>
    </row>
    <row r="241" ht="22.5" hidden="1" customHeight="1">
      <c r="E241" s="7"/>
      <c r="F241" s="20"/>
      <c r="G241" s="7"/>
    </row>
    <row r="242" ht="22.5" hidden="1" customHeight="1">
      <c r="E242" s="7"/>
      <c r="F242" s="20"/>
      <c r="G242" s="7"/>
    </row>
    <row r="243" ht="22.5" hidden="1" customHeight="1">
      <c r="E243" s="7"/>
      <c r="F243" s="20"/>
      <c r="G243" s="7"/>
    </row>
    <row r="244" ht="22.5" hidden="1" customHeight="1">
      <c r="E244" s="7"/>
      <c r="F244" s="20"/>
      <c r="G244" s="7"/>
    </row>
    <row r="245" ht="22.5" hidden="1" customHeight="1">
      <c r="E245" s="7"/>
      <c r="F245" s="20"/>
      <c r="G245" s="7"/>
    </row>
    <row r="246" ht="22.5" hidden="1" customHeight="1">
      <c r="E246" s="7"/>
      <c r="F246" s="20"/>
      <c r="G246" s="7"/>
    </row>
    <row r="247" ht="22.5" hidden="1" customHeight="1">
      <c r="E247" s="7"/>
      <c r="F247" s="20"/>
      <c r="G247" s="7"/>
    </row>
    <row r="248" ht="22.5" hidden="1" customHeight="1">
      <c r="E248" s="7"/>
      <c r="F248" s="20"/>
      <c r="G248" s="7"/>
    </row>
    <row r="249" ht="22.5" hidden="1" customHeight="1">
      <c r="E249" s="7"/>
      <c r="F249" s="20"/>
      <c r="G249" s="7"/>
    </row>
    <row r="250" ht="22.5" hidden="1" customHeight="1">
      <c r="E250" s="7"/>
      <c r="F250" s="20"/>
      <c r="G250" s="7"/>
    </row>
    <row r="251" ht="22.5" hidden="1" customHeight="1">
      <c r="E251" s="7"/>
      <c r="F251" s="20"/>
      <c r="G251" s="7"/>
    </row>
    <row r="252" ht="22.5" hidden="1" customHeight="1">
      <c r="E252" s="7"/>
      <c r="F252" s="20"/>
      <c r="G252" s="7"/>
    </row>
    <row r="253" ht="22.5" hidden="1" customHeight="1">
      <c r="E253" s="7"/>
      <c r="F253" s="20"/>
      <c r="G253" s="7"/>
    </row>
    <row r="254" ht="22.5" hidden="1" customHeight="1">
      <c r="E254" s="7"/>
      <c r="F254" s="20"/>
      <c r="G254" s="7"/>
    </row>
    <row r="255" ht="22.5" hidden="1" customHeight="1">
      <c r="E255" s="7"/>
      <c r="F255" s="20"/>
      <c r="G255" s="7"/>
    </row>
    <row r="256" ht="22.5" hidden="1" customHeight="1">
      <c r="E256" s="7"/>
      <c r="F256" s="20"/>
      <c r="G256" s="7"/>
    </row>
    <row r="257" ht="22.5" hidden="1" customHeight="1">
      <c r="E257" s="7"/>
      <c r="F257" s="20"/>
      <c r="G257" s="7"/>
    </row>
    <row r="258" ht="22.5" hidden="1" customHeight="1">
      <c r="E258" s="7"/>
      <c r="F258" s="20"/>
      <c r="G258" s="7"/>
    </row>
    <row r="259" ht="22.5" hidden="1" customHeight="1">
      <c r="E259" s="7"/>
      <c r="F259" s="20"/>
      <c r="G259" s="7"/>
    </row>
    <row r="260" ht="22.5" hidden="1" customHeight="1">
      <c r="E260" s="7"/>
      <c r="F260" s="20"/>
      <c r="G260" s="7"/>
    </row>
    <row r="261" ht="22.5" hidden="1" customHeight="1">
      <c r="E261" s="7"/>
      <c r="F261" s="20"/>
      <c r="G261" s="7"/>
    </row>
    <row r="262" ht="22.5" hidden="1" customHeight="1">
      <c r="E262" s="7"/>
      <c r="F262" s="20"/>
      <c r="G262" s="7"/>
    </row>
    <row r="263" ht="22.5" hidden="1" customHeight="1">
      <c r="E263" s="7"/>
      <c r="F263" s="20"/>
      <c r="G263" s="7"/>
    </row>
    <row r="264" ht="22.5" hidden="1" customHeight="1">
      <c r="E264" s="7"/>
      <c r="F264" s="20"/>
      <c r="G264" s="7"/>
    </row>
    <row r="265" ht="22.5" hidden="1" customHeight="1">
      <c r="E265" s="7"/>
      <c r="F265" s="20"/>
      <c r="G265" s="7"/>
    </row>
    <row r="266" ht="22.5" hidden="1" customHeight="1">
      <c r="E266" s="7"/>
      <c r="F266" s="20"/>
      <c r="G266" s="7"/>
    </row>
    <row r="267" ht="22.5" hidden="1" customHeight="1">
      <c r="E267" s="7"/>
      <c r="F267" s="20"/>
      <c r="G267" s="7"/>
    </row>
    <row r="268" ht="22.5" hidden="1" customHeight="1">
      <c r="E268" s="7"/>
      <c r="F268" s="20"/>
      <c r="G268" s="7"/>
    </row>
    <row r="269" ht="22.5" hidden="1" customHeight="1">
      <c r="E269" s="7"/>
      <c r="F269" s="20"/>
      <c r="G269" s="7"/>
    </row>
    <row r="270" ht="22.5" hidden="1" customHeight="1">
      <c r="E270" s="7"/>
      <c r="F270" s="20"/>
      <c r="G270" s="7"/>
    </row>
    <row r="271" ht="22.5" hidden="1" customHeight="1">
      <c r="E271" s="7"/>
      <c r="F271" s="20"/>
      <c r="G271" s="7"/>
    </row>
    <row r="272" ht="22.5" hidden="1" customHeight="1">
      <c r="E272" s="7"/>
      <c r="F272" s="20"/>
      <c r="G272" s="7"/>
    </row>
    <row r="273" ht="22.5" hidden="1" customHeight="1">
      <c r="E273" s="7"/>
      <c r="F273" s="20"/>
      <c r="G273" s="7"/>
    </row>
    <row r="274" ht="22.5" hidden="1" customHeight="1">
      <c r="E274" s="7"/>
      <c r="F274" s="20"/>
      <c r="G274" s="7"/>
    </row>
    <row r="275" ht="22.5" hidden="1" customHeight="1">
      <c r="E275" s="7"/>
      <c r="F275" s="20"/>
      <c r="G275" s="7"/>
    </row>
    <row r="276" ht="22.5" hidden="1" customHeight="1">
      <c r="E276" s="7"/>
      <c r="F276" s="20"/>
      <c r="G276" s="7"/>
    </row>
    <row r="277" ht="22.5" hidden="1" customHeight="1">
      <c r="E277" s="7"/>
      <c r="F277" s="20"/>
      <c r="G277" s="7"/>
    </row>
    <row r="278" ht="22.5" hidden="1" customHeight="1">
      <c r="E278" s="7"/>
      <c r="F278" s="20"/>
      <c r="G278" s="7"/>
    </row>
    <row r="279" ht="22.5" hidden="1" customHeight="1">
      <c r="E279" s="7"/>
      <c r="F279" s="20"/>
      <c r="G279" s="7"/>
    </row>
    <row r="280" ht="22.5" hidden="1" customHeight="1">
      <c r="E280" s="7"/>
      <c r="F280" s="20"/>
      <c r="G280" s="7"/>
    </row>
    <row r="281" ht="22.5" hidden="1" customHeight="1">
      <c r="E281" s="7"/>
      <c r="F281" s="20"/>
      <c r="G281" s="7"/>
    </row>
    <row r="282" ht="22.5" hidden="1" customHeight="1">
      <c r="E282" s="7"/>
      <c r="F282" s="20"/>
      <c r="G282" s="7"/>
    </row>
    <row r="283" ht="22.5" hidden="1" customHeight="1">
      <c r="E283" s="7"/>
      <c r="F283" s="20"/>
      <c r="G283" s="7"/>
    </row>
    <row r="284" ht="22.5" hidden="1" customHeight="1">
      <c r="E284" s="7"/>
      <c r="F284" s="20"/>
      <c r="G284" s="7"/>
    </row>
    <row r="285" ht="22.5" hidden="1" customHeight="1">
      <c r="E285" s="7"/>
      <c r="F285" s="20"/>
      <c r="G285" s="7"/>
    </row>
    <row r="286" ht="22.5" hidden="1" customHeight="1">
      <c r="E286" s="7"/>
      <c r="F286" s="20"/>
      <c r="G286" s="7"/>
    </row>
    <row r="287" ht="22.5" hidden="1" customHeight="1">
      <c r="E287" s="7"/>
      <c r="F287" s="20"/>
      <c r="G287" s="7"/>
    </row>
    <row r="288" ht="22.5" hidden="1" customHeight="1">
      <c r="E288" s="7"/>
      <c r="F288" s="20"/>
      <c r="G288" s="7"/>
    </row>
    <row r="289" ht="22.5" hidden="1" customHeight="1">
      <c r="E289" s="7"/>
      <c r="F289" s="20"/>
      <c r="G289" s="7"/>
    </row>
    <row r="290" ht="22.5" hidden="1" customHeight="1">
      <c r="E290" s="7"/>
      <c r="F290" s="20"/>
      <c r="G290" s="7"/>
    </row>
    <row r="291" ht="22.5" hidden="1" customHeight="1">
      <c r="E291" s="7"/>
      <c r="F291" s="20"/>
      <c r="G291" s="7"/>
    </row>
    <row r="292" ht="22.5" hidden="1" customHeight="1">
      <c r="E292" s="7"/>
      <c r="F292" s="20"/>
      <c r="G292" s="7"/>
    </row>
    <row r="293" ht="22.5" hidden="1" customHeight="1">
      <c r="E293" s="7"/>
      <c r="F293" s="20"/>
      <c r="G293" s="7"/>
    </row>
    <row r="294" ht="22.5" hidden="1" customHeight="1">
      <c r="E294" s="7"/>
      <c r="F294" s="20"/>
      <c r="G294" s="7"/>
    </row>
    <row r="295" ht="22.5" hidden="1" customHeight="1">
      <c r="E295" s="7"/>
      <c r="F295" s="20"/>
      <c r="G295" s="7"/>
    </row>
    <row r="296" ht="22.5" hidden="1" customHeight="1">
      <c r="E296" s="7"/>
      <c r="F296" s="20"/>
      <c r="G296" s="7"/>
    </row>
    <row r="297" ht="22.5" hidden="1" customHeight="1">
      <c r="E297" s="7"/>
      <c r="F297" s="20"/>
      <c r="G297" s="7"/>
    </row>
    <row r="298" ht="22.5" hidden="1" customHeight="1">
      <c r="E298" s="7"/>
      <c r="F298" s="20"/>
      <c r="G298" s="7"/>
    </row>
    <row r="299" ht="22.5" hidden="1" customHeight="1">
      <c r="E299" s="7"/>
      <c r="F299" s="20"/>
      <c r="G299" s="7"/>
    </row>
    <row r="300" ht="22.5" hidden="1" customHeight="1">
      <c r="E300" s="7"/>
      <c r="F300" s="20"/>
      <c r="G300" s="7"/>
    </row>
    <row r="301" ht="22.5" hidden="1" customHeight="1">
      <c r="E301" s="7"/>
      <c r="F301" s="20"/>
      <c r="G301" s="7"/>
    </row>
    <row r="302" ht="22.5" hidden="1" customHeight="1">
      <c r="E302" s="7"/>
      <c r="F302" s="20"/>
      <c r="G302" s="7"/>
    </row>
    <row r="303" ht="22.5" hidden="1" customHeight="1">
      <c r="E303" s="7"/>
      <c r="F303" s="20"/>
      <c r="G303" s="7"/>
    </row>
    <row r="304" ht="22.5" hidden="1" customHeight="1">
      <c r="E304" s="7"/>
      <c r="F304" s="20"/>
      <c r="G304" s="7"/>
    </row>
    <row r="305" ht="22.5" hidden="1" customHeight="1">
      <c r="E305" s="7"/>
      <c r="F305" s="20"/>
      <c r="G305" s="7"/>
    </row>
    <row r="306" ht="22.5" hidden="1" customHeight="1">
      <c r="E306" s="7"/>
      <c r="F306" s="20"/>
      <c r="G306" s="7"/>
    </row>
    <row r="307" ht="22.5" hidden="1" customHeight="1">
      <c r="E307" s="7"/>
      <c r="F307" s="20"/>
      <c r="G307" s="7"/>
    </row>
    <row r="308" ht="22.5" hidden="1" customHeight="1">
      <c r="E308" s="7"/>
      <c r="F308" s="20"/>
      <c r="G308" s="7"/>
    </row>
    <row r="309" ht="22.5" hidden="1" customHeight="1">
      <c r="E309" s="7"/>
      <c r="F309" s="20"/>
      <c r="G309" s="7"/>
    </row>
    <row r="310" ht="22.5" hidden="1" customHeight="1">
      <c r="E310" s="7"/>
      <c r="F310" s="20"/>
      <c r="G310" s="7"/>
    </row>
    <row r="311" ht="22.5" hidden="1" customHeight="1">
      <c r="E311" s="7"/>
      <c r="F311" s="20"/>
      <c r="G311" s="7"/>
    </row>
    <row r="312" ht="22.5" hidden="1" customHeight="1">
      <c r="E312" s="7"/>
      <c r="F312" s="20"/>
      <c r="G312" s="7"/>
    </row>
    <row r="313" ht="22.5" hidden="1" customHeight="1">
      <c r="E313" s="7"/>
      <c r="F313" s="20"/>
      <c r="G313" s="7"/>
    </row>
    <row r="314" ht="22.5" hidden="1" customHeight="1">
      <c r="E314" s="7"/>
      <c r="F314" s="20"/>
      <c r="G314" s="7"/>
    </row>
    <row r="315" ht="22.5" hidden="1" customHeight="1">
      <c r="E315" s="7"/>
      <c r="F315" s="20"/>
      <c r="G315" s="7"/>
    </row>
    <row r="316" ht="22.5" hidden="1" customHeight="1">
      <c r="E316" s="7"/>
      <c r="F316" s="20"/>
      <c r="G316" s="7"/>
    </row>
    <row r="317" ht="22.5" hidden="1" customHeight="1">
      <c r="E317" s="7"/>
      <c r="F317" s="20"/>
      <c r="G317" s="7"/>
    </row>
    <row r="318" ht="22.5" hidden="1" customHeight="1">
      <c r="E318" s="7"/>
      <c r="F318" s="20"/>
      <c r="G318" s="7"/>
    </row>
    <row r="319" ht="22.5" hidden="1" customHeight="1">
      <c r="E319" s="7"/>
      <c r="F319" s="20"/>
      <c r="G319" s="7"/>
    </row>
    <row r="320" ht="22.5" hidden="1" customHeight="1">
      <c r="E320" s="7"/>
      <c r="F320" s="20"/>
      <c r="G320" s="7"/>
    </row>
    <row r="321" ht="22.5" hidden="1" customHeight="1">
      <c r="E321" s="7"/>
      <c r="F321" s="20"/>
      <c r="G321" s="7"/>
    </row>
    <row r="322" ht="22.5" hidden="1" customHeight="1">
      <c r="E322" s="7"/>
      <c r="F322" s="20"/>
      <c r="G322" s="7"/>
    </row>
    <row r="323" ht="22.5" hidden="1" customHeight="1">
      <c r="E323" s="7"/>
      <c r="F323" s="20"/>
      <c r="G323" s="7"/>
    </row>
    <row r="324" ht="22.5" hidden="1" customHeight="1">
      <c r="E324" s="7"/>
      <c r="F324" s="20"/>
      <c r="G324" s="7"/>
    </row>
    <row r="325" ht="22.5" hidden="1" customHeight="1">
      <c r="E325" s="7"/>
      <c r="F325" s="20"/>
      <c r="G325" s="7"/>
    </row>
    <row r="326" ht="22.5" hidden="1" customHeight="1">
      <c r="E326" s="7"/>
      <c r="F326" s="20"/>
      <c r="G326" s="7"/>
    </row>
    <row r="327" ht="22.5" hidden="1" customHeight="1">
      <c r="E327" s="7"/>
      <c r="F327" s="20"/>
      <c r="G327" s="7"/>
    </row>
    <row r="328" ht="22.5" hidden="1" customHeight="1">
      <c r="E328" s="7"/>
      <c r="F328" s="20"/>
      <c r="G328" s="7"/>
    </row>
    <row r="329" ht="22.5" hidden="1" customHeight="1">
      <c r="E329" s="7"/>
      <c r="F329" s="20"/>
      <c r="G329" s="7"/>
    </row>
    <row r="330" ht="22.5" hidden="1" customHeight="1">
      <c r="E330" s="7"/>
      <c r="F330" s="20"/>
      <c r="G330" s="7"/>
    </row>
    <row r="331" ht="22.5" hidden="1" customHeight="1">
      <c r="E331" s="7"/>
      <c r="F331" s="20"/>
      <c r="G331" s="7"/>
    </row>
    <row r="332" ht="22.5" hidden="1" customHeight="1">
      <c r="E332" s="7"/>
      <c r="F332" s="20"/>
      <c r="G332" s="7"/>
    </row>
    <row r="333" ht="22.5" hidden="1" customHeight="1">
      <c r="E333" s="7"/>
      <c r="F333" s="20"/>
      <c r="G333" s="7"/>
    </row>
    <row r="334" ht="22.5" hidden="1" customHeight="1">
      <c r="E334" s="7"/>
      <c r="F334" s="20"/>
      <c r="G334" s="7"/>
    </row>
    <row r="335" ht="22.5" hidden="1" customHeight="1">
      <c r="E335" s="7"/>
      <c r="F335" s="20"/>
      <c r="G335" s="7"/>
    </row>
    <row r="336" ht="22.5" hidden="1" customHeight="1">
      <c r="E336" s="7"/>
      <c r="F336" s="20"/>
      <c r="G336" s="7"/>
    </row>
    <row r="337" ht="22.5" hidden="1" customHeight="1">
      <c r="E337" s="7"/>
      <c r="F337" s="20"/>
      <c r="G337" s="7"/>
    </row>
    <row r="338" ht="22.5" hidden="1" customHeight="1">
      <c r="E338" s="7"/>
      <c r="F338" s="20"/>
      <c r="G338" s="7"/>
    </row>
    <row r="339" ht="22.5" hidden="1" customHeight="1">
      <c r="E339" s="7"/>
      <c r="F339" s="20"/>
      <c r="G339" s="7"/>
    </row>
    <row r="340" ht="22.5" hidden="1" customHeight="1">
      <c r="E340" s="7"/>
      <c r="F340" s="20"/>
      <c r="G340" s="7"/>
    </row>
    <row r="341" ht="22.5" hidden="1" customHeight="1">
      <c r="E341" s="7"/>
      <c r="F341" s="20"/>
      <c r="G341" s="7"/>
    </row>
    <row r="342" ht="22.5" hidden="1" customHeight="1">
      <c r="E342" s="7"/>
      <c r="F342" s="20"/>
      <c r="G342" s="7"/>
    </row>
    <row r="343" ht="22.5" hidden="1" customHeight="1">
      <c r="E343" s="7"/>
      <c r="F343" s="20"/>
      <c r="G343" s="7"/>
    </row>
    <row r="344" ht="22.5" hidden="1" customHeight="1">
      <c r="E344" s="7"/>
      <c r="F344" s="20"/>
      <c r="G344" s="7"/>
    </row>
    <row r="345" ht="22.5" hidden="1" customHeight="1">
      <c r="E345" s="7"/>
      <c r="F345" s="20"/>
      <c r="G345" s="7"/>
    </row>
    <row r="346" ht="22.5" hidden="1" customHeight="1">
      <c r="E346" s="7"/>
      <c r="F346" s="20"/>
      <c r="G346" s="7"/>
    </row>
    <row r="347" ht="22.5" hidden="1" customHeight="1">
      <c r="E347" s="7"/>
      <c r="F347" s="20"/>
      <c r="G347" s="7"/>
    </row>
    <row r="348" ht="22.5" hidden="1" customHeight="1">
      <c r="E348" s="7"/>
      <c r="F348" s="20"/>
      <c r="G348" s="7"/>
    </row>
    <row r="349" ht="22.5" hidden="1" customHeight="1">
      <c r="E349" s="7"/>
      <c r="F349" s="20"/>
      <c r="G349" s="7"/>
    </row>
    <row r="350" ht="22.5" hidden="1" customHeight="1">
      <c r="E350" s="7"/>
      <c r="F350" s="20"/>
      <c r="G350" s="7"/>
    </row>
    <row r="351" ht="22.5" hidden="1" customHeight="1">
      <c r="E351" s="7"/>
      <c r="F351" s="20"/>
      <c r="G351" s="7"/>
    </row>
    <row r="352" ht="22.5" hidden="1" customHeight="1">
      <c r="E352" s="7"/>
      <c r="F352" s="20"/>
      <c r="G352" s="7"/>
    </row>
    <row r="353" ht="22.5" hidden="1" customHeight="1">
      <c r="E353" s="7"/>
      <c r="F353" s="20"/>
      <c r="G353" s="7"/>
    </row>
    <row r="354" ht="22.5" hidden="1" customHeight="1">
      <c r="E354" s="7"/>
      <c r="F354" s="20"/>
      <c r="G354" s="7"/>
    </row>
    <row r="355" ht="22.5" hidden="1" customHeight="1">
      <c r="E355" s="7"/>
      <c r="F355" s="20"/>
      <c r="G355" s="7"/>
    </row>
    <row r="356" ht="22.5" hidden="1" customHeight="1">
      <c r="E356" s="7"/>
      <c r="F356" s="20"/>
      <c r="G356" s="7"/>
    </row>
    <row r="357" ht="22.5" hidden="1" customHeight="1">
      <c r="E357" s="7"/>
      <c r="F357" s="20"/>
      <c r="G357" s="7"/>
    </row>
    <row r="358" ht="22.5" hidden="1" customHeight="1">
      <c r="E358" s="7"/>
      <c r="F358" s="20"/>
      <c r="G358" s="7"/>
    </row>
    <row r="359" ht="22.5" hidden="1" customHeight="1">
      <c r="E359" s="7"/>
      <c r="F359" s="20"/>
      <c r="G359" s="7"/>
    </row>
    <row r="360" ht="22.5" hidden="1" customHeight="1">
      <c r="E360" s="7"/>
      <c r="F360" s="20"/>
      <c r="G360" s="7"/>
    </row>
    <row r="361" ht="22.5" hidden="1" customHeight="1">
      <c r="E361" s="7"/>
      <c r="F361" s="20"/>
      <c r="G361" s="7"/>
    </row>
    <row r="362" ht="22.5" hidden="1" customHeight="1">
      <c r="E362" s="7"/>
      <c r="F362" s="20"/>
      <c r="G362" s="7"/>
    </row>
    <row r="363" ht="22.5" hidden="1" customHeight="1">
      <c r="E363" s="7"/>
      <c r="F363" s="20"/>
      <c r="G363" s="7"/>
    </row>
    <row r="364" ht="22.5" hidden="1" customHeight="1">
      <c r="E364" s="7"/>
      <c r="F364" s="20"/>
      <c r="G364" s="7"/>
    </row>
    <row r="365" ht="22.5" hidden="1" customHeight="1">
      <c r="E365" s="7"/>
      <c r="F365" s="20"/>
      <c r="G365" s="7"/>
    </row>
    <row r="366" ht="22.5" hidden="1" customHeight="1">
      <c r="E366" s="7"/>
      <c r="F366" s="20"/>
      <c r="G366" s="7"/>
    </row>
    <row r="367" ht="22.5" hidden="1" customHeight="1">
      <c r="E367" s="7"/>
      <c r="F367" s="20"/>
      <c r="G367" s="7"/>
    </row>
    <row r="368" ht="22.5" hidden="1" customHeight="1">
      <c r="E368" s="7"/>
      <c r="F368" s="20"/>
      <c r="G368" s="7"/>
    </row>
    <row r="369" ht="22.5" hidden="1" customHeight="1">
      <c r="E369" s="7"/>
      <c r="F369" s="20"/>
      <c r="G369" s="7"/>
    </row>
    <row r="370" ht="22.5" hidden="1" customHeight="1">
      <c r="E370" s="7"/>
      <c r="F370" s="20"/>
      <c r="G370" s="7"/>
    </row>
    <row r="371" ht="22.5" hidden="1" customHeight="1">
      <c r="E371" s="7"/>
      <c r="F371" s="20"/>
      <c r="G371" s="7"/>
    </row>
    <row r="372" ht="22.5" hidden="1" customHeight="1">
      <c r="E372" s="7"/>
      <c r="F372" s="20"/>
      <c r="G372" s="7"/>
    </row>
    <row r="373" ht="22.5" hidden="1" customHeight="1">
      <c r="E373" s="7"/>
      <c r="F373" s="20"/>
      <c r="G373" s="7"/>
    </row>
    <row r="374" ht="22.5" hidden="1" customHeight="1">
      <c r="E374" s="7"/>
      <c r="F374" s="20"/>
      <c r="G374" s="7"/>
    </row>
    <row r="375" ht="22.5" hidden="1" customHeight="1">
      <c r="E375" s="7"/>
      <c r="F375" s="20"/>
      <c r="G375" s="7"/>
    </row>
    <row r="376" ht="22.5" hidden="1" customHeight="1">
      <c r="E376" s="7"/>
      <c r="F376" s="20"/>
      <c r="G376" s="7"/>
    </row>
    <row r="377" ht="22.5" hidden="1" customHeight="1">
      <c r="E377" s="7"/>
      <c r="F377" s="20"/>
      <c r="G377" s="7"/>
    </row>
    <row r="378" ht="22.5" hidden="1" customHeight="1">
      <c r="E378" s="7"/>
      <c r="F378" s="20"/>
      <c r="G378" s="7"/>
    </row>
    <row r="379" ht="22.5" hidden="1" customHeight="1">
      <c r="E379" s="7"/>
      <c r="F379" s="20"/>
      <c r="G379" s="7"/>
    </row>
    <row r="380" ht="22.5" hidden="1" customHeight="1">
      <c r="E380" s="7"/>
      <c r="F380" s="20"/>
      <c r="G380" s="7"/>
    </row>
    <row r="381" ht="22.5" hidden="1" customHeight="1">
      <c r="E381" s="7"/>
      <c r="F381" s="20"/>
      <c r="G381" s="7"/>
    </row>
    <row r="382" ht="22.5" hidden="1" customHeight="1">
      <c r="E382" s="7"/>
      <c r="F382" s="20"/>
      <c r="G382" s="7"/>
    </row>
    <row r="383" ht="22.5" hidden="1" customHeight="1">
      <c r="E383" s="7"/>
      <c r="F383" s="20"/>
      <c r="G383" s="7"/>
    </row>
    <row r="384" ht="22.5" hidden="1" customHeight="1">
      <c r="E384" s="7"/>
      <c r="F384" s="20"/>
      <c r="G384" s="7"/>
    </row>
    <row r="385" ht="22.5" hidden="1" customHeight="1">
      <c r="E385" s="7"/>
      <c r="F385" s="20"/>
      <c r="G385" s="7"/>
    </row>
    <row r="386" ht="22.5" hidden="1" customHeight="1">
      <c r="E386" s="7"/>
      <c r="F386" s="20"/>
      <c r="G386" s="7"/>
    </row>
    <row r="387" ht="22.5" hidden="1" customHeight="1">
      <c r="E387" s="7"/>
      <c r="F387" s="20"/>
      <c r="G387" s="7"/>
    </row>
    <row r="388" ht="22.5" hidden="1" customHeight="1">
      <c r="E388" s="7"/>
      <c r="F388" s="20"/>
      <c r="G388" s="7"/>
    </row>
    <row r="389" ht="22.5" hidden="1" customHeight="1">
      <c r="E389" s="7"/>
      <c r="F389" s="20"/>
      <c r="G389" s="7"/>
    </row>
    <row r="390" ht="22.5" hidden="1" customHeight="1">
      <c r="E390" s="7"/>
      <c r="F390" s="20"/>
      <c r="G390" s="7"/>
    </row>
    <row r="391" ht="22.5" hidden="1" customHeight="1">
      <c r="E391" s="7"/>
      <c r="F391" s="20"/>
      <c r="G391" s="7"/>
    </row>
    <row r="392" ht="22.5" hidden="1" customHeight="1">
      <c r="E392" s="7"/>
      <c r="F392" s="20"/>
      <c r="G392" s="7"/>
    </row>
    <row r="393" ht="22.5" hidden="1" customHeight="1">
      <c r="E393" s="7"/>
      <c r="F393" s="20"/>
      <c r="G393" s="7"/>
    </row>
    <row r="394" ht="22.5" hidden="1" customHeight="1">
      <c r="E394" s="7"/>
      <c r="F394" s="20"/>
      <c r="G394" s="7"/>
    </row>
    <row r="395" ht="22.5" hidden="1" customHeight="1">
      <c r="E395" s="7"/>
      <c r="F395" s="20"/>
      <c r="G395" s="7"/>
    </row>
    <row r="396" ht="22.5" hidden="1" customHeight="1">
      <c r="E396" s="7"/>
      <c r="F396" s="20"/>
      <c r="G396" s="7"/>
    </row>
    <row r="397" ht="22.5" hidden="1" customHeight="1">
      <c r="E397" s="7"/>
      <c r="F397" s="20"/>
      <c r="G397" s="7"/>
    </row>
    <row r="398" ht="22.5" hidden="1" customHeight="1">
      <c r="E398" s="7"/>
      <c r="F398" s="20"/>
      <c r="G398" s="7"/>
    </row>
    <row r="399" ht="22.5" hidden="1" customHeight="1">
      <c r="E399" s="7"/>
      <c r="F399" s="20"/>
      <c r="G399" s="7"/>
    </row>
    <row r="400" ht="22.5" hidden="1" customHeight="1">
      <c r="E400" s="7"/>
      <c r="F400" s="20"/>
      <c r="G400" s="7"/>
    </row>
    <row r="401" ht="22.5" hidden="1" customHeight="1">
      <c r="E401" s="7"/>
      <c r="F401" s="20"/>
      <c r="G401" s="7"/>
    </row>
    <row r="402" ht="22.5" hidden="1" customHeight="1">
      <c r="E402" s="7"/>
      <c r="F402" s="20"/>
      <c r="G402" s="7"/>
    </row>
    <row r="403" ht="22.5" hidden="1" customHeight="1">
      <c r="E403" s="7"/>
      <c r="F403" s="20"/>
      <c r="G403" s="7"/>
    </row>
    <row r="404" ht="22.5" hidden="1" customHeight="1">
      <c r="E404" s="7"/>
      <c r="F404" s="20"/>
      <c r="G404" s="7"/>
    </row>
    <row r="405" ht="22.5" hidden="1" customHeight="1">
      <c r="E405" s="7"/>
      <c r="F405" s="20"/>
      <c r="G405" s="7"/>
    </row>
    <row r="406" ht="22.5" hidden="1" customHeight="1">
      <c r="E406" s="7"/>
      <c r="F406" s="20"/>
      <c r="G406" s="7"/>
    </row>
    <row r="407" ht="22.5" hidden="1" customHeight="1">
      <c r="E407" s="7"/>
      <c r="F407" s="20"/>
      <c r="G407" s="7"/>
    </row>
    <row r="408" ht="22.5" hidden="1" customHeight="1">
      <c r="E408" s="7"/>
      <c r="F408" s="20"/>
      <c r="G408" s="7"/>
    </row>
    <row r="409" ht="22.5" hidden="1" customHeight="1">
      <c r="E409" s="7"/>
      <c r="F409" s="20"/>
      <c r="G409" s="7"/>
    </row>
    <row r="410" ht="22.5" hidden="1" customHeight="1">
      <c r="E410" s="7"/>
      <c r="F410" s="20"/>
      <c r="G410" s="7"/>
    </row>
    <row r="411" ht="22.5" hidden="1" customHeight="1">
      <c r="E411" s="7"/>
      <c r="F411" s="20"/>
      <c r="G411" s="7"/>
    </row>
    <row r="412" ht="22.5" hidden="1" customHeight="1">
      <c r="E412" s="7"/>
      <c r="F412" s="20"/>
      <c r="G412" s="7"/>
    </row>
    <row r="413" ht="22.5" hidden="1" customHeight="1">
      <c r="E413" s="7"/>
      <c r="F413" s="20"/>
      <c r="G413" s="7"/>
    </row>
    <row r="414" ht="22.5" hidden="1" customHeight="1">
      <c r="E414" s="7"/>
      <c r="F414" s="20"/>
      <c r="G414" s="7"/>
    </row>
    <row r="415" ht="22.5" hidden="1" customHeight="1">
      <c r="E415" s="7"/>
      <c r="F415" s="20"/>
      <c r="G415" s="7"/>
    </row>
    <row r="416" ht="22.5" hidden="1" customHeight="1">
      <c r="E416" s="7"/>
      <c r="F416" s="20"/>
      <c r="G416" s="7"/>
    </row>
    <row r="417" ht="22.5" hidden="1" customHeight="1">
      <c r="E417" s="7"/>
      <c r="F417" s="20"/>
      <c r="G417" s="7"/>
    </row>
    <row r="418" ht="22.5" hidden="1" customHeight="1">
      <c r="E418" s="7"/>
      <c r="F418" s="20"/>
      <c r="G418" s="7"/>
    </row>
    <row r="419" ht="22.5" hidden="1" customHeight="1">
      <c r="E419" s="7"/>
      <c r="F419" s="20"/>
      <c r="G419" s="7"/>
    </row>
    <row r="420" ht="22.5" hidden="1" customHeight="1">
      <c r="E420" s="7"/>
      <c r="F420" s="20"/>
      <c r="G420" s="7"/>
    </row>
    <row r="421" ht="22.5" hidden="1" customHeight="1">
      <c r="E421" s="7"/>
      <c r="F421" s="20"/>
      <c r="G421" s="7"/>
    </row>
    <row r="422" ht="22.5" hidden="1" customHeight="1">
      <c r="E422" s="7"/>
      <c r="F422" s="20"/>
      <c r="G422" s="7"/>
    </row>
    <row r="423" ht="22.5" hidden="1" customHeight="1">
      <c r="E423" s="7"/>
      <c r="F423" s="20"/>
      <c r="G423" s="7"/>
    </row>
    <row r="424" ht="22.5" hidden="1" customHeight="1">
      <c r="E424" s="7"/>
      <c r="F424" s="20"/>
      <c r="G424" s="7"/>
    </row>
    <row r="425" ht="22.5" hidden="1" customHeight="1">
      <c r="E425" s="7"/>
      <c r="F425" s="20"/>
      <c r="G425" s="7"/>
    </row>
    <row r="426" ht="22.5" hidden="1" customHeight="1">
      <c r="E426" s="7"/>
      <c r="F426" s="20"/>
      <c r="G426" s="7"/>
    </row>
    <row r="427" ht="22.5" hidden="1" customHeight="1">
      <c r="E427" s="7"/>
      <c r="F427" s="20"/>
      <c r="G427" s="7"/>
    </row>
    <row r="428" ht="22.5" hidden="1" customHeight="1">
      <c r="E428" s="7"/>
      <c r="F428" s="20"/>
      <c r="G428" s="7"/>
    </row>
    <row r="429" ht="22.5" hidden="1" customHeight="1">
      <c r="E429" s="7"/>
      <c r="F429" s="20"/>
      <c r="G429" s="7"/>
    </row>
    <row r="430" ht="22.5" hidden="1" customHeight="1">
      <c r="E430" s="7"/>
      <c r="F430" s="20"/>
      <c r="G430" s="7"/>
    </row>
    <row r="431" ht="22.5" hidden="1" customHeight="1">
      <c r="E431" s="7"/>
      <c r="F431" s="20"/>
      <c r="G431" s="7"/>
    </row>
    <row r="432" ht="22.5" hidden="1" customHeight="1">
      <c r="E432" s="7"/>
      <c r="F432" s="20"/>
      <c r="G432" s="7"/>
    </row>
    <row r="433" ht="22.5" hidden="1" customHeight="1">
      <c r="E433" s="7"/>
      <c r="F433" s="20"/>
      <c r="G433" s="7"/>
    </row>
    <row r="434" ht="22.5" hidden="1" customHeight="1">
      <c r="E434" s="7"/>
      <c r="F434" s="20"/>
      <c r="G434" s="7"/>
    </row>
    <row r="435" ht="22.5" hidden="1" customHeight="1">
      <c r="E435" s="7"/>
      <c r="F435" s="20"/>
      <c r="G435" s="7"/>
    </row>
    <row r="436" ht="22.5" hidden="1" customHeight="1">
      <c r="E436" s="7"/>
      <c r="F436" s="20"/>
      <c r="G436" s="7"/>
    </row>
    <row r="437" ht="22.5" hidden="1" customHeight="1">
      <c r="E437" s="7"/>
      <c r="F437" s="20"/>
      <c r="G437" s="7"/>
    </row>
    <row r="438" ht="22.5" hidden="1" customHeight="1">
      <c r="E438" s="7"/>
      <c r="F438" s="20"/>
      <c r="G438" s="7"/>
    </row>
    <row r="439" ht="22.5" hidden="1" customHeight="1">
      <c r="E439" s="7"/>
      <c r="F439" s="20"/>
      <c r="G439" s="7"/>
    </row>
    <row r="440" ht="22.5" hidden="1" customHeight="1">
      <c r="E440" s="7"/>
      <c r="F440" s="20"/>
      <c r="G440" s="7"/>
    </row>
    <row r="441" ht="22.5" hidden="1" customHeight="1">
      <c r="E441" s="7"/>
      <c r="F441" s="20"/>
      <c r="G441" s="7"/>
    </row>
    <row r="442" ht="22.5" hidden="1" customHeight="1">
      <c r="E442" s="7"/>
      <c r="F442" s="20"/>
      <c r="G442" s="7"/>
    </row>
    <row r="443" ht="22.5" hidden="1" customHeight="1">
      <c r="E443" s="7"/>
      <c r="F443" s="20"/>
      <c r="G443" s="7"/>
    </row>
    <row r="444" ht="22.5" hidden="1" customHeight="1">
      <c r="E444" s="7"/>
      <c r="F444" s="20"/>
      <c r="G444" s="7"/>
    </row>
    <row r="445" ht="22.5" hidden="1" customHeight="1">
      <c r="E445" s="7"/>
      <c r="F445" s="20"/>
      <c r="G445" s="7"/>
    </row>
    <row r="446" ht="22.5" hidden="1" customHeight="1">
      <c r="E446" s="7"/>
      <c r="F446" s="20"/>
      <c r="G446" s="7"/>
    </row>
    <row r="447" ht="22.5" hidden="1" customHeight="1">
      <c r="E447" s="7"/>
      <c r="F447" s="20"/>
      <c r="G447" s="7"/>
    </row>
    <row r="448" ht="22.5" hidden="1" customHeight="1">
      <c r="E448" s="7"/>
      <c r="F448" s="20"/>
      <c r="G448" s="7"/>
    </row>
    <row r="449" ht="22.5" hidden="1" customHeight="1">
      <c r="E449" s="7"/>
      <c r="F449" s="20"/>
      <c r="G449" s="7"/>
    </row>
    <row r="450" ht="22.5" hidden="1" customHeight="1">
      <c r="E450" s="7"/>
      <c r="F450" s="20"/>
      <c r="G450" s="7"/>
    </row>
    <row r="451" ht="22.5" hidden="1" customHeight="1">
      <c r="E451" s="7"/>
      <c r="F451" s="20"/>
      <c r="G451" s="7"/>
    </row>
    <row r="452" ht="22.5" hidden="1" customHeight="1">
      <c r="E452" s="7"/>
      <c r="F452" s="20"/>
      <c r="G452" s="7"/>
    </row>
    <row r="453" ht="22.5" hidden="1" customHeight="1">
      <c r="E453" s="7"/>
      <c r="F453" s="20"/>
      <c r="G453" s="7"/>
    </row>
    <row r="454" ht="22.5" hidden="1" customHeight="1">
      <c r="E454" s="7"/>
      <c r="F454" s="20"/>
      <c r="G454" s="7"/>
    </row>
    <row r="455" ht="22.5" hidden="1" customHeight="1">
      <c r="E455" s="7"/>
      <c r="F455" s="20"/>
      <c r="G455" s="7"/>
    </row>
    <row r="456" ht="22.5" hidden="1" customHeight="1">
      <c r="E456" s="7"/>
      <c r="F456" s="20"/>
      <c r="G456" s="7"/>
    </row>
    <row r="457" ht="22.5" hidden="1" customHeight="1">
      <c r="E457" s="7"/>
      <c r="F457" s="20"/>
      <c r="G457" s="7"/>
    </row>
    <row r="458" ht="22.5" hidden="1" customHeight="1">
      <c r="E458" s="7"/>
      <c r="F458" s="20"/>
      <c r="G458" s="7"/>
    </row>
    <row r="459" ht="22.5" hidden="1" customHeight="1">
      <c r="E459" s="7"/>
      <c r="F459" s="20"/>
      <c r="G459" s="7"/>
    </row>
    <row r="460" ht="22.5" hidden="1" customHeight="1">
      <c r="E460" s="7"/>
      <c r="F460" s="20"/>
      <c r="G460" s="7"/>
    </row>
    <row r="461" ht="22.5" hidden="1" customHeight="1">
      <c r="E461" s="7"/>
      <c r="F461" s="20"/>
      <c r="G461" s="7"/>
    </row>
    <row r="462" ht="22.5" hidden="1" customHeight="1">
      <c r="E462" s="7"/>
      <c r="F462" s="20"/>
      <c r="G462" s="7"/>
    </row>
    <row r="463" ht="22.5" hidden="1" customHeight="1">
      <c r="E463" s="7"/>
      <c r="F463" s="20"/>
      <c r="G463" s="7"/>
    </row>
    <row r="464" ht="22.5" hidden="1" customHeight="1">
      <c r="E464" s="7"/>
      <c r="F464" s="20"/>
      <c r="G464" s="7"/>
    </row>
    <row r="465" ht="22.5" hidden="1" customHeight="1">
      <c r="E465" s="7"/>
      <c r="F465" s="20"/>
      <c r="G465" s="7"/>
    </row>
    <row r="466" ht="22.5" hidden="1" customHeight="1">
      <c r="E466" s="7"/>
      <c r="F466" s="20"/>
      <c r="G466" s="7"/>
    </row>
    <row r="467" ht="22.5" hidden="1" customHeight="1">
      <c r="E467" s="7"/>
      <c r="F467" s="20"/>
      <c r="G467" s="7"/>
    </row>
    <row r="468" ht="22.5" hidden="1" customHeight="1">
      <c r="E468" s="7"/>
      <c r="F468" s="20"/>
      <c r="G468" s="7"/>
    </row>
    <row r="469" ht="22.5" hidden="1" customHeight="1">
      <c r="E469" s="7"/>
      <c r="F469" s="20"/>
      <c r="G469" s="7"/>
    </row>
    <row r="470" ht="22.5" hidden="1" customHeight="1">
      <c r="E470" s="7"/>
      <c r="F470" s="20"/>
      <c r="G470" s="7"/>
    </row>
    <row r="471" ht="22.5" hidden="1" customHeight="1">
      <c r="E471" s="7"/>
      <c r="F471" s="20"/>
      <c r="G471" s="7"/>
    </row>
    <row r="472" ht="22.5" hidden="1" customHeight="1">
      <c r="E472" s="7"/>
      <c r="F472" s="20"/>
      <c r="G472" s="7"/>
    </row>
    <row r="473" ht="22.5" hidden="1" customHeight="1">
      <c r="E473" s="7"/>
      <c r="F473" s="20"/>
      <c r="G473" s="7"/>
    </row>
    <row r="474" ht="22.5" hidden="1" customHeight="1">
      <c r="E474" s="7"/>
      <c r="F474" s="20"/>
      <c r="G474" s="7"/>
    </row>
    <row r="475" ht="22.5" hidden="1" customHeight="1">
      <c r="E475" s="7"/>
      <c r="F475" s="20"/>
      <c r="G475" s="7"/>
    </row>
    <row r="476" ht="22.5" hidden="1" customHeight="1">
      <c r="E476" s="7"/>
      <c r="F476" s="20"/>
      <c r="G476" s="7"/>
    </row>
    <row r="477" ht="22.5" hidden="1" customHeight="1">
      <c r="E477" s="7"/>
      <c r="F477" s="20"/>
      <c r="G477" s="7"/>
    </row>
    <row r="478" ht="22.5" hidden="1" customHeight="1">
      <c r="E478" s="7"/>
      <c r="F478" s="20"/>
      <c r="G478" s="7"/>
    </row>
    <row r="479" ht="22.5" hidden="1" customHeight="1">
      <c r="E479" s="7"/>
      <c r="F479" s="20"/>
      <c r="G479" s="7"/>
    </row>
    <row r="480" ht="22.5" hidden="1" customHeight="1">
      <c r="E480" s="7"/>
      <c r="F480" s="20"/>
      <c r="G480" s="7"/>
    </row>
    <row r="481" ht="22.5" hidden="1" customHeight="1">
      <c r="E481" s="7"/>
      <c r="F481" s="20"/>
      <c r="G481" s="7"/>
    </row>
    <row r="482" ht="22.5" hidden="1" customHeight="1">
      <c r="E482" s="7"/>
      <c r="F482" s="20"/>
      <c r="G482" s="7"/>
    </row>
    <row r="483" ht="22.5" hidden="1" customHeight="1">
      <c r="E483" s="7"/>
      <c r="F483" s="20"/>
      <c r="G483" s="7"/>
    </row>
    <row r="484" ht="22.5" hidden="1" customHeight="1">
      <c r="E484" s="7"/>
      <c r="F484" s="20"/>
      <c r="G484" s="7"/>
    </row>
    <row r="485" ht="22.5" hidden="1" customHeight="1">
      <c r="E485" s="7"/>
      <c r="F485" s="20"/>
      <c r="G485" s="7"/>
    </row>
    <row r="486" ht="22.5" hidden="1" customHeight="1">
      <c r="E486" s="7"/>
      <c r="F486" s="20"/>
      <c r="G486" s="7"/>
    </row>
    <row r="487" ht="22.5" hidden="1" customHeight="1">
      <c r="E487" s="7"/>
      <c r="F487" s="20"/>
      <c r="G487" s="7"/>
    </row>
    <row r="488" ht="22.5" hidden="1" customHeight="1">
      <c r="E488" s="7"/>
      <c r="F488" s="20"/>
      <c r="G488" s="7"/>
    </row>
    <row r="489" ht="22.5" hidden="1" customHeight="1">
      <c r="E489" s="7"/>
      <c r="F489" s="20"/>
      <c r="G489" s="7"/>
    </row>
    <row r="490" ht="22.5" hidden="1" customHeight="1">
      <c r="E490" s="7"/>
      <c r="F490" s="20"/>
      <c r="G490" s="7"/>
    </row>
    <row r="491" ht="22.5" hidden="1" customHeight="1">
      <c r="E491" s="7"/>
      <c r="F491" s="20"/>
      <c r="G491" s="7"/>
    </row>
    <row r="492" ht="22.5" hidden="1" customHeight="1">
      <c r="E492" s="7"/>
      <c r="F492" s="20"/>
      <c r="G492" s="7"/>
    </row>
    <row r="493" ht="22.5" hidden="1" customHeight="1">
      <c r="E493" s="7"/>
      <c r="F493" s="20"/>
      <c r="G493" s="7"/>
    </row>
    <row r="494" ht="22.5" hidden="1" customHeight="1">
      <c r="E494" s="7"/>
      <c r="F494" s="20"/>
      <c r="G494" s="7"/>
    </row>
    <row r="495" ht="22.5" hidden="1" customHeight="1">
      <c r="E495" s="7"/>
      <c r="F495" s="20"/>
      <c r="G495" s="7"/>
    </row>
    <row r="496" ht="22.5" hidden="1" customHeight="1">
      <c r="E496" s="7"/>
      <c r="F496" s="20"/>
      <c r="G496" s="7"/>
    </row>
    <row r="497" ht="22.5" hidden="1" customHeight="1">
      <c r="E497" s="7"/>
      <c r="F497" s="20"/>
      <c r="G497" s="7"/>
    </row>
    <row r="498" ht="22.5" hidden="1" customHeight="1">
      <c r="E498" s="7"/>
      <c r="F498" s="20"/>
      <c r="G498" s="7"/>
    </row>
    <row r="499" ht="22.5" hidden="1" customHeight="1">
      <c r="E499" s="7"/>
      <c r="F499" s="20"/>
      <c r="G499" s="7"/>
    </row>
    <row r="500" ht="22.5" hidden="1" customHeight="1">
      <c r="E500" s="7"/>
      <c r="F500" s="20"/>
      <c r="G500" s="7"/>
    </row>
    <row r="501" ht="22.5" hidden="1" customHeight="1">
      <c r="E501" s="7"/>
      <c r="F501" s="20"/>
      <c r="G501" s="7"/>
    </row>
    <row r="502" ht="22.5" hidden="1" customHeight="1">
      <c r="E502" s="7"/>
      <c r="F502" s="20"/>
      <c r="G502" s="7"/>
    </row>
    <row r="503" ht="22.5" hidden="1" customHeight="1">
      <c r="E503" s="7"/>
      <c r="F503" s="20"/>
      <c r="G503" s="7"/>
    </row>
    <row r="504" ht="22.5" hidden="1" customHeight="1">
      <c r="E504" s="7"/>
      <c r="F504" s="20"/>
      <c r="G504" s="7"/>
    </row>
    <row r="505" ht="22.5" hidden="1" customHeight="1">
      <c r="E505" s="7"/>
      <c r="F505" s="20"/>
      <c r="G505" s="7"/>
    </row>
    <row r="506" ht="22.5" hidden="1" customHeight="1">
      <c r="E506" s="7"/>
      <c r="F506" s="20"/>
      <c r="G506" s="7"/>
    </row>
    <row r="507" ht="22.5" hidden="1" customHeight="1">
      <c r="E507" s="7"/>
      <c r="F507" s="20"/>
      <c r="G507" s="7"/>
    </row>
    <row r="508" ht="22.5" hidden="1" customHeight="1">
      <c r="E508" s="7"/>
      <c r="F508" s="20"/>
      <c r="G508" s="7"/>
    </row>
    <row r="509" ht="22.5" hidden="1" customHeight="1">
      <c r="E509" s="7"/>
      <c r="F509" s="20"/>
      <c r="G509" s="7"/>
    </row>
    <row r="510" ht="22.5" hidden="1" customHeight="1">
      <c r="E510" s="7"/>
      <c r="F510" s="20"/>
      <c r="G510" s="7"/>
    </row>
    <row r="511" ht="22.5" hidden="1" customHeight="1">
      <c r="E511" s="7"/>
      <c r="F511" s="20"/>
      <c r="G511" s="7"/>
    </row>
    <row r="512" ht="22.5" hidden="1" customHeight="1">
      <c r="E512" s="7"/>
      <c r="F512" s="20"/>
      <c r="G512" s="7"/>
    </row>
    <row r="513" ht="22.5" hidden="1" customHeight="1">
      <c r="E513" s="7"/>
      <c r="F513" s="20"/>
      <c r="G513" s="7"/>
    </row>
    <row r="514" ht="22.5" hidden="1" customHeight="1">
      <c r="E514" s="7"/>
      <c r="F514" s="20"/>
      <c r="G514" s="7"/>
    </row>
    <row r="515" ht="22.5" hidden="1" customHeight="1">
      <c r="E515" s="7"/>
      <c r="F515" s="20"/>
      <c r="G515" s="7"/>
    </row>
    <row r="516" ht="22.5" hidden="1" customHeight="1">
      <c r="E516" s="7"/>
      <c r="F516" s="20"/>
      <c r="G516" s="7"/>
    </row>
    <row r="517" ht="22.5" hidden="1" customHeight="1">
      <c r="E517" s="7"/>
      <c r="F517" s="20"/>
      <c r="G517" s="7"/>
    </row>
    <row r="518" ht="22.5" hidden="1" customHeight="1">
      <c r="E518" s="7"/>
      <c r="F518" s="20"/>
      <c r="G518" s="7"/>
    </row>
    <row r="519" ht="22.5" hidden="1" customHeight="1">
      <c r="E519" s="7"/>
      <c r="F519" s="20"/>
      <c r="G519" s="7"/>
    </row>
    <row r="520" ht="22.5" hidden="1" customHeight="1">
      <c r="E520" s="7"/>
      <c r="F520" s="20"/>
      <c r="G520" s="7"/>
    </row>
    <row r="521" ht="22.5" hidden="1" customHeight="1">
      <c r="E521" s="7"/>
      <c r="F521" s="20"/>
      <c r="G521" s="7"/>
    </row>
    <row r="522" ht="22.5" hidden="1" customHeight="1">
      <c r="E522" s="7"/>
      <c r="F522" s="20"/>
      <c r="G522" s="7"/>
    </row>
    <row r="523" ht="22.5" hidden="1" customHeight="1">
      <c r="E523" s="7"/>
      <c r="F523" s="20"/>
      <c r="G523" s="7"/>
    </row>
    <row r="524" ht="22.5" hidden="1" customHeight="1">
      <c r="E524" s="7"/>
      <c r="F524" s="20"/>
      <c r="G524" s="7"/>
    </row>
    <row r="525" ht="22.5" hidden="1" customHeight="1">
      <c r="E525" s="7"/>
      <c r="F525" s="20"/>
      <c r="G525" s="7"/>
    </row>
    <row r="526" ht="22.5" hidden="1" customHeight="1">
      <c r="E526" s="7"/>
      <c r="F526" s="20"/>
      <c r="G526" s="7"/>
    </row>
    <row r="527" ht="22.5" hidden="1" customHeight="1">
      <c r="E527" s="7"/>
      <c r="F527" s="20"/>
      <c r="G527" s="7"/>
    </row>
    <row r="528" ht="22.5" hidden="1" customHeight="1">
      <c r="E528" s="7"/>
      <c r="F528" s="20"/>
      <c r="G528" s="7"/>
    </row>
    <row r="529" ht="22.5" hidden="1" customHeight="1">
      <c r="E529" s="7"/>
      <c r="F529" s="20"/>
      <c r="G529" s="7"/>
    </row>
    <row r="530" ht="22.5" hidden="1" customHeight="1">
      <c r="E530" s="7"/>
      <c r="F530" s="20"/>
      <c r="G530" s="7"/>
    </row>
    <row r="531" ht="22.5" hidden="1" customHeight="1">
      <c r="E531" s="7"/>
      <c r="F531" s="20"/>
      <c r="G531" s="7"/>
    </row>
    <row r="532" ht="22.5" hidden="1" customHeight="1">
      <c r="E532" s="7"/>
      <c r="F532" s="20"/>
      <c r="G532" s="7"/>
    </row>
    <row r="533" ht="22.5" hidden="1" customHeight="1">
      <c r="E533" s="7"/>
      <c r="F533" s="20"/>
      <c r="G533" s="7"/>
    </row>
    <row r="534" ht="22.5" hidden="1" customHeight="1">
      <c r="E534" s="7"/>
      <c r="F534" s="20"/>
      <c r="G534" s="7"/>
    </row>
    <row r="535" ht="22.5" hidden="1" customHeight="1">
      <c r="E535" s="7"/>
      <c r="F535" s="20"/>
      <c r="G535" s="7"/>
    </row>
    <row r="536" ht="22.5" hidden="1" customHeight="1">
      <c r="E536" s="7"/>
      <c r="F536" s="20"/>
      <c r="G536" s="7"/>
    </row>
    <row r="537" ht="22.5" hidden="1" customHeight="1">
      <c r="E537" s="7"/>
      <c r="F537" s="20"/>
      <c r="G537" s="7"/>
    </row>
    <row r="538" ht="22.5" hidden="1" customHeight="1">
      <c r="E538" s="7"/>
      <c r="F538" s="20"/>
      <c r="G538" s="7"/>
    </row>
    <row r="539" ht="22.5" hidden="1" customHeight="1">
      <c r="E539" s="7"/>
      <c r="F539" s="20"/>
      <c r="G539" s="7"/>
    </row>
    <row r="540" ht="22.5" hidden="1" customHeight="1">
      <c r="E540" s="7"/>
      <c r="F540" s="20"/>
      <c r="G540" s="7"/>
    </row>
    <row r="541" ht="22.5" hidden="1" customHeight="1">
      <c r="E541" s="7"/>
      <c r="F541" s="20"/>
      <c r="G541" s="7"/>
    </row>
    <row r="542" ht="22.5" hidden="1" customHeight="1">
      <c r="E542" s="7"/>
      <c r="F542" s="20"/>
      <c r="G542" s="7"/>
    </row>
    <row r="543" ht="22.5" hidden="1" customHeight="1">
      <c r="E543" s="7"/>
      <c r="F543" s="20"/>
      <c r="G543" s="7"/>
    </row>
    <row r="544" ht="22.5" hidden="1" customHeight="1">
      <c r="E544" s="7"/>
      <c r="F544" s="20"/>
      <c r="G544" s="7"/>
    </row>
    <row r="545" ht="22.5" hidden="1" customHeight="1">
      <c r="E545" s="7"/>
      <c r="F545" s="20"/>
      <c r="G545" s="7"/>
    </row>
    <row r="546" ht="22.5" hidden="1" customHeight="1">
      <c r="E546" s="7"/>
      <c r="F546" s="20"/>
      <c r="G546" s="7"/>
    </row>
    <row r="547" ht="22.5" hidden="1" customHeight="1">
      <c r="E547" s="7"/>
      <c r="F547" s="20"/>
      <c r="G547" s="7"/>
    </row>
    <row r="548" ht="22.5" hidden="1" customHeight="1">
      <c r="E548" s="7"/>
      <c r="F548" s="20"/>
      <c r="G548" s="7"/>
    </row>
    <row r="549" ht="22.5" hidden="1" customHeight="1">
      <c r="E549" s="7"/>
      <c r="F549" s="20"/>
      <c r="G549" s="7"/>
    </row>
    <row r="550" ht="22.5" hidden="1" customHeight="1">
      <c r="E550" s="7"/>
      <c r="F550" s="20"/>
      <c r="G550" s="7"/>
    </row>
    <row r="551" ht="22.5" hidden="1" customHeight="1">
      <c r="E551" s="7"/>
      <c r="F551" s="20"/>
      <c r="G551" s="7"/>
    </row>
    <row r="552" ht="22.5" hidden="1" customHeight="1">
      <c r="E552" s="7"/>
      <c r="F552" s="20"/>
      <c r="G552" s="7"/>
    </row>
    <row r="553" ht="22.5" hidden="1" customHeight="1">
      <c r="E553" s="7"/>
      <c r="F553" s="20"/>
      <c r="G553" s="7"/>
    </row>
    <row r="554" ht="22.5" hidden="1" customHeight="1">
      <c r="E554" s="7"/>
      <c r="F554" s="20"/>
      <c r="G554" s="7"/>
    </row>
    <row r="555" ht="22.5" hidden="1" customHeight="1">
      <c r="E555" s="7"/>
      <c r="F555" s="20"/>
      <c r="G555" s="7"/>
    </row>
    <row r="556" ht="22.5" hidden="1" customHeight="1">
      <c r="E556" s="7"/>
      <c r="F556" s="20"/>
      <c r="G556" s="7"/>
    </row>
    <row r="557" ht="22.5" hidden="1" customHeight="1">
      <c r="E557" s="7"/>
      <c r="F557" s="20"/>
      <c r="G557" s="7"/>
    </row>
    <row r="558" ht="22.5" hidden="1" customHeight="1">
      <c r="E558" s="7"/>
      <c r="F558" s="20"/>
      <c r="G558" s="7"/>
    </row>
    <row r="559" ht="22.5" hidden="1" customHeight="1">
      <c r="E559" s="7"/>
      <c r="F559" s="20"/>
      <c r="G559" s="7"/>
    </row>
    <row r="560" ht="22.5" hidden="1" customHeight="1">
      <c r="E560" s="7"/>
      <c r="F560" s="20"/>
      <c r="G560" s="7"/>
    </row>
    <row r="561" ht="22.5" hidden="1" customHeight="1">
      <c r="E561" s="7"/>
      <c r="F561" s="20"/>
      <c r="G561" s="7"/>
    </row>
    <row r="562" ht="22.5" hidden="1" customHeight="1">
      <c r="E562" s="7"/>
      <c r="F562" s="20"/>
      <c r="G562" s="7"/>
    </row>
    <row r="563" ht="22.5" hidden="1" customHeight="1">
      <c r="E563" s="7"/>
      <c r="F563" s="20"/>
      <c r="G563" s="7"/>
    </row>
    <row r="564" ht="22.5" hidden="1" customHeight="1">
      <c r="E564" s="7"/>
      <c r="F564" s="20"/>
      <c r="G564" s="7"/>
    </row>
    <row r="565" ht="22.5" hidden="1" customHeight="1">
      <c r="E565" s="7"/>
      <c r="F565" s="20"/>
      <c r="G565" s="7"/>
    </row>
    <row r="566" ht="22.5" hidden="1" customHeight="1">
      <c r="E566" s="7"/>
      <c r="F566" s="20"/>
      <c r="G566" s="7"/>
    </row>
    <row r="567" ht="22.5" hidden="1" customHeight="1">
      <c r="E567" s="7"/>
      <c r="F567" s="20"/>
      <c r="G567" s="7"/>
    </row>
    <row r="568" ht="22.5" hidden="1" customHeight="1">
      <c r="E568" s="7"/>
      <c r="F568" s="20"/>
      <c r="G568" s="7"/>
    </row>
    <row r="569" ht="22.5" hidden="1" customHeight="1">
      <c r="E569" s="7"/>
      <c r="F569" s="20"/>
      <c r="G569" s="7"/>
    </row>
    <row r="570" ht="22.5" hidden="1" customHeight="1">
      <c r="E570" s="7"/>
      <c r="F570" s="20"/>
      <c r="G570" s="7"/>
    </row>
    <row r="571" ht="22.5" hidden="1" customHeight="1">
      <c r="E571" s="7"/>
      <c r="F571" s="20"/>
      <c r="G571" s="7"/>
    </row>
    <row r="572" ht="22.5" hidden="1" customHeight="1">
      <c r="E572" s="7"/>
      <c r="F572" s="20"/>
      <c r="G572" s="7"/>
    </row>
    <row r="573" ht="22.5" hidden="1" customHeight="1">
      <c r="E573" s="7"/>
      <c r="F573" s="20"/>
      <c r="G573" s="7"/>
    </row>
    <row r="574" ht="22.5" hidden="1" customHeight="1">
      <c r="E574" s="7"/>
      <c r="F574" s="20"/>
      <c r="G574" s="7"/>
    </row>
    <row r="575" ht="22.5" hidden="1" customHeight="1">
      <c r="E575" s="7"/>
      <c r="F575" s="20"/>
      <c r="G575" s="7"/>
    </row>
    <row r="576" ht="22.5" hidden="1" customHeight="1">
      <c r="E576" s="7"/>
      <c r="F576" s="20"/>
      <c r="G576" s="7"/>
    </row>
    <row r="577" ht="22.5" hidden="1" customHeight="1">
      <c r="E577" s="7"/>
      <c r="F577" s="20"/>
      <c r="G577" s="7"/>
    </row>
    <row r="578" ht="22.5" hidden="1" customHeight="1">
      <c r="E578" s="7"/>
      <c r="F578" s="20"/>
      <c r="G578" s="7"/>
    </row>
    <row r="579" ht="22.5" hidden="1" customHeight="1">
      <c r="E579" s="7"/>
      <c r="F579" s="20"/>
      <c r="G579" s="7"/>
    </row>
    <row r="580" ht="22.5" hidden="1" customHeight="1">
      <c r="E580" s="7"/>
      <c r="F580" s="20"/>
      <c r="G580" s="7"/>
    </row>
    <row r="581" ht="22.5" hidden="1" customHeight="1">
      <c r="E581" s="7"/>
      <c r="F581" s="20"/>
      <c r="G581" s="7"/>
    </row>
    <row r="582" ht="22.5" hidden="1" customHeight="1">
      <c r="E582" s="7"/>
      <c r="F582" s="20"/>
      <c r="G582" s="7"/>
    </row>
    <row r="583" ht="22.5" hidden="1" customHeight="1">
      <c r="E583" s="7"/>
      <c r="F583" s="20"/>
      <c r="G583" s="7"/>
    </row>
    <row r="584" ht="22.5" hidden="1" customHeight="1">
      <c r="E584" s="7"/>
      <c r="F584" s="20"/>
      <c r="G584" s="7"/>
    </row>
    <row r="585" ht="22.5" hidden="1" customHeight="1">
      <c r="E585" s="7"/>
      <c r="F585" s="20"/>
      <c r="G585" s="7"/>
    </row>
    <row r="586" ht="22.5" hidden="1" customHeight="1">
      <c r="E586" s="7"/>
      <c r="F586" s="20"/>
      <c r="G586" s="7"/>
    </row>
    <row r="587" ht="22.5" hidden="1" customHeight="1">
      <c r="E587" s="7"/>
      <c r="F587" s="20"/>
      <c r="G587" s="7"/>
    </row>
    <row r="588" ht="22.5" hidden="1" customHeight="1">
      <c r="E588" s="7"/>
      <c r="F588" s="20"/>
      <c r="G588" s="7"/>
    </row>
    <row r="589" ht="22.5" hidden="1" customHeight="1">
      <c r="E589" s="7"/>
      <c r="F589" s="20"/>
      <c r="G589" s="7"/>
    </row>
    <row r="590" ht="22.5" hidden="1" customHeight="1">
      <c r="E590" s="7"/>
      <c r="F590" s="20"/>
      <c r="G590" s="7"/>
    </row>
    <row r="591" ht="22.5" hidden="1" customHeight="1">
      <c r="E591" s="7"/>
      <c r="F591" s="20"/>
      <c r="G591" s="7"/>
    </row>
    <row r="592" ht="22.5" hidden="1" customHeight="1">
      <c r="E592" s="7"/>
      <c r="F592" s="20"/>
      <c r="G592" s="7"/>
    </row>
    <row r="593" ht="22.5" hidden="1" customHeight="1">
      <c r="E593" s="7"/>
      <c r="F593" s="20"/>
      <c r="G593" s="7"/>
    </row>
    <row r="594" ht="22.5" hidden="1" customHeight="1">
      <c r="E594" s="7"/>
      <c r="F594" s="20"/>
      <c r="G594" s="7"/>
    </row>
    <row r="595" ht="22.5" hidden="1" customHeight="1">
      <c r="E595" s="7"/>
      <c r="F595" s="20"/>
      <c r="G595" s="7"/>
    </row>
    <row r="596" ht="22.5" hidden="1" customHeight="1">
      <c r="E596" s="7"/>
      <c r="F596" s="20"/>
      <c r="G596" s="7"/>
    </row>
    <row r="597" ht="22.5" hidden="1" customHeight="1">
      <c r="E597" s="7"/>
      <c r="F597" s="20"/>
      <c r="G597" s="7"/>
    </row>
    <row r="598" ht="22.5" hidden="1" customHeight="1">
      <c r="E598" s="7"/>
      <c r="F598" s="20"/>
      <c r="G598" s="7"/>
    </row>
    <row r="599" ht="22.5" hidden="1" customHeight="1">
      <c r="E599" s="7"/>
      <c r="F599" s="20"/>
      <c r="G599" s="7"/>
    </row>
    <row r="600" ht="22.5" hidden="1" customHeight="1">
      <c r="E600" s="7"/>
      <c r="F600" s="20"/>
      <c r="G600" s="7"/>
    </row>
    <row r="601" ht="22.5" hidden="1" customHeight="1">
      <c r="E601" s="7"/>
      <c r="F601" s="20"/>
      <c r="G601" s="7"/>
    </row>
    <row r="602" ht="22.5" hidden="1" customHeight="1">
      <c r="E602" s="7"/>
      <c r="F602" s="20"/>
      <c r="G602" s="7"/>
    </row>
    <row r="603" ht="22.5" hidden="1" customHeight="1">
      <c r="E603" s="7"/>
      <c r="F603" s="20"/>
      <c r="G603" s="7"/>
    </row>
    <row r="604" ht="22.5" hidden="1" customHeight="1">
      <c r="E604" s="7"/>
      <c r="F604" s="20"/>
      <c r="G604" s="7"/>
    </row>
    <row r="605" ht="22.5" hidden="1" customHeight="1">
      <c r="E605" s="7"/>
      <c r="F605" s="20"/>
      <c r="G605" s="7"/>
    </row>
    <row r="606" ht="22.5" hidden="1" customHeight="1">
      <c r="E606" s="7"/>
      <c r="F606" s="20"/>
      <c r="G606" s="7"/>
    </row>
    <row r="607" ht="22.5" hidden="1" customHeight="1">
      <c r="E607" s="7"/>
      <c r="F607" s="20"/>
      <c r="G607" s="7"/>
    </row>
    <row r="608" ht="22.5" hidden="1" customHeight="1">
      <c r="E608" s="7"/>
      <c r="F608" s="20"/>
      <c r="G608" s="7"/>
    </row>
    <row r="609" ht="22.5" hidden="1" customHeight="1">
      <c r="E609" s="7"/>
      <c r="F609" s="20"/>
      <c r="G609" s="7"/>
    </row>
    <row r="610" ht="22.5" hidden="1" customHeight="1">
      <c r="E610" s="7"/>
      <c r="F610" s="20"/>
      <c r="G610" s="7"/>
    </row>
    <row r="611" ht="22.5" hidden="1" customHeight="1">
      <c r="E611" s="7"/>
      <c r="F611" s="20"/>
      <c r="G611" s="7"/>
    </row>
    <row r="612" ht="22.5" hidden="1" customHeight="1">
      <c r="E612" s="7"/>
      <c r="F612" s="20"/>
      <c r="G612" s="7"/>
    </row>
    <row r="613" ht="22.5" hidden="1" customHeight="1">
      <c r="E613" s="7"/>
      <c r="F613" s="20"/>
      <c r="G613" s="7"/>
    </row>
    <row r="614" ht="22.5" hidden="1" customHeight="1">
      <c r="E614" s="7"/>
      <c r="F614" s="20"/>
      <c r="G614" s="7"/>
    </row>
    <row r="615" ht="22.5" hidden="1" customHeight="1">
      <c r="E615" s="7"/>
      <c r="F615" s="20"/>
      <c r="G615" s="7"/>
    </row>
    <row r="616" ht="22.5" hidden="1" customHeight="1">
      <c r="E616" s="7"/>
      <c r="F616" s="20"/>
      <c r="G616" s="7"/>
    </row>
    <row r="617" ht="22.5" hidden="1" customHeight="1">
      <c r="E617" s="7"/>
      <c r="F617" s="20"/>
      <c r="G617" s="7"/>
    </row>
    <row r="618" ht="22.5" hidden="1" customHeight="1">
      <c r="E618" s="7"/>
      <c r="F618" s="20"/>
      <c r="G618" s="7"/>
    </row>
    <row r="619" ht="22.5" hidden="1" customHeight="1">
      <c r="E619" s="7"/>
      <c r="F619" s="20"/>
      <c r="G619" s="7"/>
    </row>
    <row r="620" ht="22.5" hidden="1" customHeight="1">
      <c r="E620" s="7"/>
      <c r="F620" s="20"/>
      <c r="G620" s="7"/>
    </row>
    <row r="621" ht="22.5" hidden="1" customHeight="1">
      <c r="E621" s="7"/>
      <c r="F621" s="20"/>
      <c r="G621" s="7"/>
    </row>
    <row r="622" ht="22.5" hidden="1" customHeight="1">
      <c r="E622" s="7"/>
      <c r="F622" s="20"/>
      <c r="G622" s="7"/>
    </row>
    <row r="623" ht="22.5" hidden="1" customHeight="1">
      <c r="E623" s="7"/>
      <c r="F623" s="20"/>
      <c r="G623" s="7"/>
    </row>
    <row r="624" ht="22.5" hidden="1" customHeight="1">
      <c r="E624" s="7"/>
      <c r="F624" s="20"/>
      <c r="G624" s="7"/>
    </row>
    <row r="625" ht="22.5" hidden="1" customHeight="1">
      <c r="E625" s="7"/>
      <c r="F625" s="20"/>
      <c r="G625" s="7"/>
    </row>
    <row r="626" ht="22.5" hidden="1" customHeight="1">
      <c r="E626" s="7"/>
      <c r="F626" s="20"/>
      <c r="G626" s="7"/>
    </row>
    <row r="627" ht="22.5" hidden="1" customHeight="1">
      <c r="E627" s="7"/>
      <c r="F627" s="20"/>
      <c r="G627" s="7"/>
    </row>
    <row r="628" ht="22.5" hidden="1" customHeight="1">
      <c r="E628" s="7"/>
      <c r="F628" s="20"/>
      <c r="G628" s="7"/>
    </row>
    <row r="629" ht="22.5" hidden="1" customHeight="1">
      <c r="E629" s="7"/>
      <c r="F629" s="20"/>
      <c r="G629" s="7"/>
    </row>
    <row r="630" ht="22.5" hidden="1" customHeight="1">
      <c r="E630" s="7"/>
      <c r="F630" s="20"/>
      <c r="G630" s="7"/>
    </row>
    <row r="631" ht="22.5" hidden="1" customHeight="1">
      <c r="E631" s="7"/>
      <c r="F631" s="20"/>
      <c r="G631" s="7"/>
    </row>
    <row r="632" ht="22.5" hidden="1" customHeight="1">
      <c r="E632" s="7"/>
      <c r="F632" s="20"/>
      <c r="G632" s="7"/>
    </row>
    <row r="633" ht="22.5" hidden="1" customHeight="1">
      <c r="E633" s="7"/>
      <c r="F633" s="20"/>
      <c r="G633" s="7"/>
    </row>
    <row r="634" ht="22.5" hidden="1" customHeight="1">
      <c r="E634" s="7"/>
      <c r="F634" s="20"/>
      <c r="G634" s="7"/>
    </row>
    <row r="635" ht="22.5" hidden="1" customHeight="1">
      <c r="E635" s="7"/>
      <c r="F635" s="20"/>
      <c r="G635" s="7"/>
    </row>
    <row r="636" ht="22.5" hidden="1" customHeight="1">
      <c r="E636" s="7"/>
      <c r="F636" s="20"/>
      <c r="G636" s="7"/>
    </row>
    <row r="637" ht="22.5" hidden="1" customHeight="1">
      <c r="E637" s="7"/>
      <c r="F637" s="20"/>
      <c r="G637" s="7"/>
    </row>
    <row r="638" ht="22.5" hidden="1" customHeight="1">
      <c r="E638" s="7"/>
      <c r="F638" s="20"/>
      <c r="G638" s="7"/>
    </row>
    <row r="639" ht="22.5" hidden="1" customHeight="1">
      <c r="E639" s="7"/>
      <c r="F639" s="20"/>
      <c r="G639" s="7"/>
    </row>
    <row r="640" ht="22.5" hidden="1" customHeight="1">
      <c r="E640" s="7"/>
      <c r="F640" s="20"/>
      <c r="G640" s="7"/>
    </row>
    <row r="641" ht="22.5" hidden="1" customHeight="1">
      <c r="E641" s="7"/>
      <c r="F641" s="20"/>
      <c r="G641" s="7"/>
    </row>
    <row r="642" ht="22.5" hidden="1" customHeight="1">
      <c r="E642" s="7"/>
      <c r="F642" s="20"/>
      <c r="G642" s="7"/>
    </row>
    <row r="643" ht="22.5" hidden="1" customHeight="1">
      <c r="E643" s="7"/>
      <c r="F643" s="20"/>
      <c r="G643" s="7"/>
    </row>
    <row r="644" ht="22.5" hidden="1" customHeight="1">
      <c r="E644" s="7"/>
      <c r="F644" s="20"/>
      <c r="G644" s="7"/>
    </row>
    <row r="645" ht="22.5" hidden="1" customHeight="1">
      <c r="E645" s="7"/>
      <c r="F645" s="20"/>
      <c r="G645" s="7"/>
    </row>
    <row r="646" ht="22.5" hidden="1" customHeight="1">
      <c r="E646" s="7"/>
      <c r="F646" s="20"/>
      <c r="G646" s="7"/>
    </row>
    <row r="647" ht="22.5" hidden="1" customHeight="1">
      <c r="E647" s="7"/>
      <c r="F647" s="20"/>
      <c r="G647" s="7"/>
    </row>
    <row r="648" ht="22.5" hidden="1" customHeight="1">
      <c r="E648" s="7"/>
      <c r="F648" s="20"/>
      <c r="G648" s="7"/>
    </row>
    <row r="649" ht="22.5" hidden="1" customHeight="1">
      <c r="E649" s="7"/>
      <c r="F649" s="20"/>
      <c r="G649" s="7"/>
    </row>
    <row r="650" ht="22.5" hidden="1" customHeight="1">
      <c r="E650" s="7"/>
      <c r="F650" s="20"/>
      <c r="G650" s="7"/>
    </row>
    <row r="651" ht="22.5" hidden="1" customHeight="1">
      <c r="E651" s="7"/>
      <c r="F651" s="20"/>
      <c r="G651" s="7"/>
    </row>
    <row r="652" ht="22.5" hidden="1" customHeight="1">
      <c r="E652" s="7"/>
      <c r="F652" s="20"/>
      <c r="G652" s="7"/>
    </row>
    <row r="653" ht="22.5" hidden="1" customHeight="1">
      <c r="E653" s="7"/>
      <c r="F653" s="20"/>
      <c r="G653" s="7"/>
    </row>
    <row r="654" ht="22.5" hidden="1" customHeight="1">
      <c r="E654" s="7"/>
      <c r="F654" s="20"/>
      <c r="G654" s="7"/>
    </row>
    <row r="655" ht="22.5" hidden="1" customHeight="1">
      <c r="E655" s="7"/>
      <c r="F655" s="20"/>
      <c r="G655" s="7"/>
    </row>
    <row r="656" ht="22.5" hidden="1" customHeight="1">
      <c r="E656" s="7"/>
      <c r="F656" s="20"/>
      <c r="G656" s="7"/>
    </row>
    <row r="657" ht="22.5" hidden="1" customHeight="1">
      <c r="E657" s="7"/>
      <c r="F657" s="20"/>
      <c r="G657" s="7"/>
    </row>
    <row r="658" ht="22.5" hidden="1" customHeight="1">
      <c r="E658" s="7"/>
      <c r="F658" s="20"/>
      <c r="G658" s="7"/>
    </row>
    <row r="659" ht="22.5" hidden="1" customHeight="1">
      <c r="E659" s="7"/>
      <c r="F659" s="20"/>
      <c r="G659" s="7"/>
    </row>
    <row r="660" ht="22.5" hidden="1" customHeight="1">
      <c r="E660" s="7"/>
      <c r="F660" s="20"/>
      <c r="G660" s="7"/>
    </row>
    <row r="661" ht="22.5" hidden="1" customHeight="1">
      <c r="E661" s="7"/>
      <c r="F661" s="20"/>
      <c r="G661" s="7"/>
    </row>
    <row r="662" ht="22.5" hidden="1" customHeight="1">
      <c r="E662" s="7"/>
      <c r="F662" s="20"/>
      <c r="G662" s="7"/>
    </row>
    <row r="663" ht="22.5" hidden="1" customHeight="1">
      <c r="E663" s="7"/>
      <c r="F663" s="20"/>
      <c r="G663" s="7"/>
    </row>
    <row r="664" ht="22.5" hidden="1" customHeight="1">
      <c r="E664" s="7"/>
      <c r="F664" s="20"/>
      <c r="G664" s="7"/>
    </row>
    <row r="665" ht="22.5" hidden="1" customHeight="1">
      <c r="E665" s="7"/>
      <c r="F665" s="20"/>
      <c r="G665" s="7"/>
    </row>
    <row r="666" ht="22.5" hidden="1" customHeight="1">
      <c r="E666" s="7"/>
      <c r="F666" s="20"/>
      <c r="G666" s="7"/>
    </row>
    <row r="667" ht="22.5" hidden="1" customHeight="1">
      <c r="E667" s="7"/>
      <c r="F667" s="20"/>
      <c r="G667" s="7"/>
    </row>
    <row r="668" ht="22.5" hidden="1" customHeight="1">
      <c r="E668" s="7"/>
      <c r="F668" s="20"/>
      <c r="G668" s="7"/>
    </row>
    <row r="669" ht="22.5" hidden="1" customHeight="1">
      <c r="E669" s="7"/>
      <c r="F669" s="20"/>
      <c r="G669" s="7"/>
    </row>
    <row r="670" ht="22.5" hidden="1" customHeight="1">
      <c r="E670" s="7"/>
      <c r="F670" s="20"/>
      <c r="G670" s="7"/>
    </row>
    <row r="671" ht="22.5" hidden="1" customHeight="1">
      <c r="E671" s="7"/>
      <c r="F671" s="20"/>
      <c r="G671" s="7"/>
    </row>
    <row r="672" ht="22.5" hidden="1" customHeight="1">
      <c r="E672" s="7"/>
      <c r="F672" s="20"/>
      <c r="G672" s="7"/>
    </row>
    <row r="673" ht="22.5" hidden="1" customHeight="1">
      <c r="E673" s="7"/>
      <c r="F673" s="20"/>
      <c r="G673" s="7"/>
    </row>
    <row r="674" ht="22.5" hidden="1" customHeight="1">
      <c r="E674" s="7"/>
      <c r="F674" s="20"/>
      <c r="G674" s="7"/>
    </row>
    <row r="675" ht="22.5" hidden="1" customHeight="1">
      <c r="E675" s="7"/>
      <c r="F675" s="20"/>
      <c r="G675" s="7"/>
    </row>
    <row r="676" ht="22.5" hidden="1" customHeight="1">
      <c r="E676" s="7"/>
      <c r="F676" s="20"/>
      <c r="G676" s="7"/>
    </row>
    <row r="677" ht="22.5" hidden="1" customHeight="1">
      <c r="E677" s="7"/>
      <c r="F677" s="20"/>
      <c r="G677" s="7"/>
    </row>
    <row r="678" ht="22.5" hidden="1" customHeight="1">
      <c r="E678" s="7"/>
      <c r="F678" s="20"/>
      <c r="G678" s="7"/>
    </row>
    <row r="679" ht="22.5" hidden="1" customHeight="1">
      <c r="E679" s="7"/>
      <c r="F679" s="20"/>
      <c r="G679" s="7"/>
    </row>
    <row r="680" ht="22.5" hidden="1" customHeight="1">
      <c r="E680" s="7"/>
      <c r="F680" s="20"/>
      <c r="G680" s="7"/>
    </row>
    <row r="681" ht="22.5" hidden="1" customHeight="1">
      <c r="E681" s="7"/>
      <c r="F681" s="20"/>
      <c r="G681" s="7"/>
    </row>
    <row r="682" ht="22.5" hidden="1" customHeight="1">
      <c r="E682" s="7"/>
      <c r="F682" s="20"/>
      <c r="G682" s="7"/>
    </row>
    <row r="683" ht="22.5" hidden="1" customHeight="1">
      <c r="E683" s="7"/>
      <c r="F683" s="20"/>
      <c r="G683" s="7"/>
    </row>
    <row r="684" ht="22.5" hidden="1" customHeight="1">
      <c r="E684" s="7"/>
      <c r="F684" s="20"/>
      <c r="G684" s="7"/>
    </row>
    <row r="685" ht="22.5" hidden="1" customHeight="1">
      <c r="E685" s="7"/>
      <c r="F685" s="20"/>
      <c r="G685" s="7"/>
    </row>
    <row r="686" ht="22.5" hidden="1" customHeight="1">
      <c r="E686" s="7"/>
      <c r="F686" s="20"/>
      <c r="G686" s="7"/>
    </row>
    <row r="687" ht="22.5" hidden="1" customHeight="1">
      <c r="E687" s="7"/>
      <c r="F687" s="20"/>
      <c r="G687" s="7"/>
    </row>
    <row r="688" ht="22.5" hidden="1" customHeight="1">
      <c r="E688" s="7"/>
      <c r="F688" s="20"/>
      <c r="G688" s="7"/>
    </row>
    <row r="689" ht="22.5" hidden="1" customHeight="1">
      <c r="E689" s="7"/>
      <c r="F689" s="20"/>
      <c r="G689" s="7"/>
    </row>
    <row r="690" ht="22.5" hidden="1" customHeight="1">
      <c r="E690" s="7"/>
      <c r="F690" s="20"/>
      <c r="G690" s="7"/>
    </row>
    <row r="691" ht="22.5" hidden="1" customHeight="1">
      <c r="E691" s="7"/>
      <c r="F691" s="20"/>
      <c r="G691" s="7"/>
    </row>
    <row r="692" ht="22.5" hidden="1" customHeight="1">
      <c r="E692" s="7"/>
      <c r="F692" s="20"/>
      <c r="G692" s="7"/>
    </row>
    <row r="693" ht="22.5" hidden="1" customHeight="1">
      <c r="E693" s="7"/>
      <c r="F693" s="20"/>
      <c r="G693" s="7"/>
    </row>
    <row r="694" ht="22.5" hidden="1" customHeight="1">
      <c r="E694" s="7"/>
      <c r="F694" s="20"/>
      <c r="G694" s="7"/>
    </row>
    <row r="695" ht="22.5" hidden="1" customHeight="1">
      <c r="E695" s="7"/>
      <c r="F695" s="20"/>
      <c r="G695" s="7"/>
    </row>
    <row r="696" ht="22.5" hidden="1" customHeight="1">
      <c r="E696" s="7"/>
      <c r="F696" s="20"/>
      <c r="G696" s="7"/>
    </row>
    <row r="697" ht="22.5" hidden="1" customHeight="1">
      <c r="E697" s="7"/>
      <c r="F697" s="20"/>
      <c r="G697" s="7"/>
    </row>
    <row r="698" ht="22.5" hidden="1" customHeight="1">
      <c r="E698" s="7"/>
      <c r="F698" s="20"/>
      <c r="G698" s="7"/>
    </row>
    <row r="699" ht="22.5" hidden="1" customHeight="1">
      <c r="E699" s="7"/>
      <c r="F699" s="20"/>
      <c r="G699" s="7"/>
    </row>
    <row r="700" ht="22.5" hidden="1" customHeight="1">
      <c r="E700" s="7"/>
      <c r="F700" s="20"/>
      <c r="G700" s="7"/>
    </row>
    <row r="701" ht="22.5" hidden="1" customHeight="1">
      <c r="E701" s="7"/>
      <c r="F701" s="20"/>
      <c r="G701" s="7"/>
    </row>
    <row r="702" ht="22.5" hidden="1" customHeight="1">
      <c r="E702" s="7"/>
      <c r="F702" s="20"/>
      <c r="G702" s="7"/>
    </row>
    <row r="703" ht="22.5" hidden="1" customHeight="1">
      <c r="E703" s="7"/>
      <c r="F703" s="20"/>
      <c r="G703" s="7"/>
    </row>
    <row r="704" ht="22.5" hidden="1" customHeight="1">
      <c r="E704" s="7"/>
      <c r="F704" s="20"/>
      <c r="G704" s="7"/>
    </row>
    <row r="705" ht="22.5" hidden="1" customHeight="1">
      <c r="E705" s="7"/>
      <c r="F705" s="20"/>
      <c r="G705" s="7"/>
    </row>
    <row r="706" ht="22.5" hidden="1" customHeight="1">
      <c r="E706" s="7"/>
      <c r="F706" s="20"/>
      <c r="G706" s="7"/>
    </row>
    <row r="707" ht="22.5" hidden="1" customHeight="1">
      <c r="E707" s="7"/>
      <c r="F707" s="20"/>
      <c r="G707" s="7"/>
    </row>
    <row r="708" ht="22.5" hidden="1" customHeight="1">
      <c r="E708" s="7"/>
      <c r="F708" s="20"/>
      <c r="G708" s="7"/>
    </row>
    <row r="709" ht="22.5" hidden="1" customHeight="1">
      <c r="E709" s="7"/>
      <c r="F709" s="20"/>
      <c r="G709" s="7"/>
    </row>
    <row r="710" ht="22.5" hidden="1" customHeight="1">
      <c r="E710" s="7"/>
      <c r="F710" s="20"/>
      <c r="G710" s="7"/>
    </row>
    <row r="711" ht="22.5" hidden="1" customHeight="1">
      <c r="E711" s="7"/>
      <c r="F711" s="20"/>
      <c r="G711" s="7"/>
    </row>
    <row r="712" ht="22.5" hidden="1" customHeight="1">
      <c r="E712" s="7"/>
      <c r="F712" s="20"/>
      <c r="G712" s="7"/>
    </row>
    <row r="713" ht="22.5" hidden="1" customHeight="1">
      <c r="E713" s="7"/>
      <c r="F713" s="20"/>
      <c r="G713" s="7"/>
    </row>
    <row r="714" ht="22.5" hidden="1" customHeight="1">
      <c r="E714" s="7"/>
      <c r="F714" s="20"/>
      <c r="G714" s="7"/>
    </row>
    <row r="715" ht="22.5" hidden="1" customHeight="1">
      <c r="E715" s="7"/>
      <c r="F715" s="20"/>
      <c r="G715" s="7"/>
    </row>
    <row r="716" ht="22.5" hidden="1" customHeight="1">
      <c r="E716" s="7"/>
      <c r="F716" s="20"/>
      <c r="G716" s="7"/>
    </row>
    <row r="717" ht="22.5" hidden="1" customHeight="1">
      <c r="E717" s="7"/>
      <c r="F717" s="20"/>
      <c r="G717" s="7"/>
    </row>
    <row r="718" ht="22.5" hidden="1" customHeight="1">
      <c r="E718" s="7"/>
      <c r="F718" s="20"/>
      <c r="G718" s="7"/>
    </row>
    <row r="719" ht="22.5" hidden="1" customHeight="1">
      <c r="E719" s="7"/>
      <c r="F719" s="20"/>
      <c r="G719" s="7"/>
    </row>
    <row r="720" ht="22.5" hidden="1" customHeight="1">
      <c r="E720" s="7"/>
      <c r="F720" s="20"/>
      <c r="G720" s="7"/>
    </row>
    <row r="721" ht="22.5" hidden="1" customHeight="1">
      <c r="E721" s="7"/>
      <c r="F721" s="20"/>
      <c r="G721" s="7"/>
    </row>
    <row r="722" ht="22.5" hidden="1" customHeight="1">
      <c r="E722" s="7"/>
      <c r="F722" s="20"/>
      <c r="G722" s="7"/>
    </row>
    <row r="723" ht="22.5" hidden="1" customHeight="1">
      <c r="E723" s="7"/>
      <c r="F723" s="20"/>
      <c r="G723" s="7"/>
    </row>
    <row r="724" ht="22.5" hidden="1" customHeight="1">
      <c r="E724" s="7"/>
      <c r="F724" s="20"/>
      <c r="G724" s="7"/>
    </row>
    <row r="725" ht="22.5" hidden="1" customHeight="1">
      <c r="E725" s="7"/>
      <c r="F725" s="20"/>
      <c r="G725" s="7"/>
    </row>
    <row r="726" ht="22.5" hidden="1" customHeight="1">
      <c r="E726" s="7"/>
      <c r="F726" s="20"/>
      <c r="G726" s="7"/>
    </row>
    <row r="727" ht="22.5" hidden="1" customHeight="1">
      <c r="E727" s="7"/>
      <c r="F727" s="20"/>
      <c r="G727" s="7"/>
    </row>
    <row r="728" ht="22.5" hidden="1" customHeight="1">
      <c r="E728" s="7"/>
      <c r="F728" s="20"/>
      <c r="G728" s="7"/>
    </row>
    <row r="729" ht="22.5" hidden="1" customHeight="1">
      <c r="E729" s="7"/>
      <c r="F729" s="20"/>
      <c r="G729" s="7"/>
    </row>
    <row r="730" ht="22.5" hidden="1" customHeight="1">
      <c r="E730" s="7"/>
      <c r="F730" s="20"/>
      <c r="G730" s="7"/>
    </row>
    <row r="731" ht="22.5" hidden="1" customHeight="1">
      <c r="E731" s="7"/>
      <c r="F731" s="20"/>
      <c r="G731" s="7"/>
    </row>
    <row r="732" ht="22.5" hidden="1" customHeight="1">
      <c r="E732" s="7"/>
      <c r="F732" s="20"/>
      <c r="G732" s="7"/>
    </row>
    <row r="733" ht="22.5" hidden="1" customHeight="1">
      <c r="E733" s="7"/>
      <c r="F733" s="20"/>
      <c r="G733" s="7"/>
    </row>
    <row r="734" ht="22.5" hidden="1" customHeight="1">
      <c r="E734" s="7"/>
      <c r="F734" s="20"/>
      <c r="G734" s="7"/>
    </row>
    <row r="735" ht="22.5" hidden="1" customHeight="1">
      <c r="E735" s="7"/>
      <c r="F735" s="20"/>
      <c r="G735" s="7"/>
    </row>
    <row r="736" ht="22.5" hidden="1" customHeight="1">
      <c r="E736" s="7"/>
      <c r="F736" s="20"/>
      <c r="G736" s="7"/>
    </row>
    <row r="737" ht="22.5" hidden="1" customHeight="1">
      <c r="E737" s="7"/>
      <c r="F737" s="20"/>
      <c r="G737" s="7"/>
    </row>
    <row r="738" ht="22.5" hidden="1" customHeight="1">
      <c r="E738" s="7"/>
      <c r="F738" s="20"/>
      <c r="G738" s="7"/>
    </row>
    <row r="739" ht="22.5" hidden="1" customHeight="1">
      <c r="E739" s="7"/>
      <c r="F739" s="20"/>
      <c r="G739" s="7"/>
    </row>
    <row r="740" ht="22.5" hidden="1" customHeight="1">
      <c r="E740" s="7"/>
      <c r="F740" s="20"/>
      <c r="G740" s="7"/>
    </row>
    <row r="741" ht="22.5" hidden="1" customHeight="1">
      <c r="E741" s="7"/>
      <c r="F741" s="20"/>
      <c r="G741" s="7"/>
    </row>
    <row r="742" ht="22.5" hidden="1" customHeight="1">
      <c r="E742" s="7"/>
      <c r="F742" s="20"/>
      <c r="G742" s="7"/>
    </row>
    <row r="743" ht="22.5" hidden="1" customHeight="1">
      <c r="E743" s="7"/>
      <c r="F743" s="20"/>
      <c r="G743" s="7"/>
    </row>
    <row r="744" ht="22.5" hidden="1" customHeight="1">
      <c r="E744" s="7"/>
      <c r="F744" s="20"/>
      <c r="G744" s="7"/>
    </row>
    <row r="745" ht="22.5" hidden="1" customHeight="1">
      <c r="E745" s="7"/>
      <c r="F745" s="20"/>
      <c r="G745" s="7"/>
    </row>
    <row r="746" ht="22.5" hidden="1" customHeight="1">
      <c r="E746" s="7"/>
      <c r="F746" s="20"/>
      <c r="G746" s="7"/>
    </row>
    <row r="747" ht="22.5" hidden="1" customHeight="1">
      <c r="E747" s="7"/>
      <c r="F747" s="20"/>
      <c r="G747" s="7"/>
    </row>
    <row r="748" ht="22.5" hidden="1" customHeight="1">
      <c r="E748" s="7"/>
      <c r="F748" s="20"/>
      <c r="G748" s="7"/>
    </row>
    <row r="749" ht="22.5" hidden="1" customHeight="1">
      <c r="E749" s="7"/>
      <c r="F749" s="20"/>
      <c r="G749" s="7"/>
    </row>
    <row r="750" ht="22.5" hidden="1" customHeight="1">
      <c r="E750" s="7"/>
      <c r="F750" s="20"/>
      <c r="G750" s="7"/>
    </row>
    <row r="751" ht="22.5" hidden="1" customHeight="1">
      <c r="E751" s="7"/>
      <c r="F751" s="20"/>
      <c r="G751" s="7"/>
    </row>
    <row r="752" ht="22.5" hidden="1" customHeight="1">
      <c r="E752" s="7"/>
      <c r="F752" s="20"/>
      <c r="G752" s="7"/>
    </row>
    <row r="753" ht="22.5" hidden="1" customHeight="1">
      <c r="E753" s="7"/>
      <c r="F753" s="20"/>
      <c r="G753" s="7"/>
    </row>
    <row r="754" ht="22.5" hidden="1" customHeight="1">
      <c r="E754" s="7"/>
      <c r="F754" s="20"/>
      <c r="G754" s="7"/>
    </row>
    <row r="755" ht="22.5" hidden="1" customHeight="1">
      <c r="E755" s="7"/>
      <c r="F755" s="20"/>
      <c r="G755" s="7"/>
    </row>
    <row r="756" ht="22.5" hidden="1" customHeight="1">
      <c r="E756" s="7"/>
      <c r="F756" s="20"/>
      <c r="G756" s="7"/>
    </row>
    <row r="757" ht="22.5" hidden="1" customHeight="1">
      <c r="E757" s="7"/>
      <c r="F757" s="20"/>
      <c r="G757" s="7"/>
    </row>
    <row r="758" ht="22.5" hidden="1" customHeight="1">
      <c r="E758" s="7"/>
      <c r="F758" s="20"/>
      <c r="G758" s="7"/>
    </row>
    <row r="759" ht="22.5" hidden="1" customHeight="1">
      <c r="E759" s="7"/>
      <c r="F759" s="20"/>
      <c r="G759" s="7"/>
    </row>
    <row r="760" ht="22.5" hidden="1" customHeight="1">
      <c r="E760" s="7"/>
      <c r="F760" s="20"/>
      <c r="G760" s="7"/>
    </row>
    <row r="761" ht="22.5" hidden="1" customHeight="1">
      <c r="E761" s="7"/>
      <c r="F761" s="20"/>
      <c r="G761" s="7"/>
    </row>
    <row r="762" ht="22.5" hidden="1" customHeight="1">
      <c r="E762" s="7"/>
      <c r="F762" s="20"/>
      <c r="G762" s="7"/>
    </row>
    <row r="763" ht="22.5" hidden="1" customHeight="1">
      <c r="E763" s="7"/>
      <c r="F763" s="20"/>
      <c r="G763" s="7"/>
    </row>
    <row r="764" ht="22.5" hidden="1" customHeight="1">
      <c r="E764" s="7"/>
      <c r="F764" s="20"/>
      <c r="G764" s="7"/>
    </row>
    <row r="765" ht="22.5" hidden="1" customHeight="1">
      <c r="E765" s="7"/>
      <c r="F765" s="20"/>
      <c r="G765" s="7"/>
    </row>
    <row r="766" ht="22.5" hidden="1" customHeight="1">
      <c r="E766" s="7"/>
      <c r="F766" s="20"/>
      <c r="G766" s="7"/>
    </row>
    <row r="767" ht="22.5" hidden="1" customHeight="1">
      <c r="E767" s="7"/>
      <c r="F767" s="20"/>
      <c r="G767" s="7"/>
    </row>
    <row r="768" ht="22.5" hidden="1" customHeight="1">
      <c r="E768" s="7"/>
      <c r="F768" s="20"/>
      <c r="G768" s="7"/>
    </row>
    <row r="769" ht="22.5" hidden="1" customHeight="1">
      <c r="E769" s="7"/>
      <c r="F769" s="20"/>
      <c r="G769" s="7"/>
    </row>
    <row r="770" ht="22.5" hidden="1" customHeight="1">
      <c r="E770" s="7"/>
      <c r="F770" s="20"/>
      <c r="G770" s="7"/>
    </row>
    <row r="771" ht="22.5" hidden="1" customHeight="1">
      <c r="E771" s="7"/>
      <c r="F771" s="20"/>
      <c r="G771" s="7"/>
    </row>
    <row r="772" ht="22.5" hidden="1" customHeight="1">
      <c r="E772" s="7"/>
      <c r="F772" s="20"/>
      <c r="G772" s="7"/>
    </row>
    <row r="773" ht="22.5" hidden="1" customHeight="1">
      <c r="E773" s="7"/>
      <c r="F773" s="20"/>
      <c r="G773" s="7"/>
    </row>
    <row r="774" ht="22.5" hidden="1" customHeight="1">
      <c r="E774" s="7"/>
      <c r="F774" s="20"/>
      <c r="G774" s="7"/>
    </row>
    <row r="775" ht="22.5" hidden="1" customHeight="1">
      <c r="E775" s="7"/>
      <c r="F775" s="20"/>
      <c r="G775" s="7"/>
    </row>
    <row r="776" ht="22.5" hidden="1" customHeight="1">
      <c r="E776" s="7"/>
      <c r="F776" s="20"/>
      <c r="G776" s="7"/>
    </row>
    <row r="777" ht="22.5" hidden="1" customHeight="1">
      <c r="E777" s="7"/>
      <c r="F777" s="20"/>
      <c r="G777" s="7"/>
    </row>
    <row r="778" ht="22.5" hidden="1" customHeight="1">
      <c r="E778" s="7"/>
      <c r="F778" s="20"/>
      <c r="G778" s="7"/>
    </row>
    <row r="779" ht="22.5" hidden="1" customHeight="1">
      <c r="E779" s="7"/>
      <c r="F779" s="20"/>
      <c r="G779" s="7"/>
    </row>
    <row r="780" ht="22.5" hidden="1" customHeight="1">
      <c r="E780" s="7"/>
      <c r="F780" s="20"/>
      <c r="G780" s="7"/>
    </row>
    <row r="781" ht="22.5" hidden="1" customHeight="1">
      <c r="E781" s="7"/>
      <c r="F781" s="20"/>
      <c r="G781" s="7"/>
    </row>
    <row r="782" ht="22.5" hidden="1" customHeight="1">
      <c r="E782" s="7"/>
      <c r="F782" s="20"/>
      <c r="G782" s="7"/>
    </row>
    <row r="783" ht="22.5" hidden="1" customHeight="1">
      <c r="E783" s="7"/>
      <c r="F783" s="20"/>
      <c r="G783" s="7"/>
    </row>
    <row r="784" ht="22.5" hidden="1" customHeight="1">
      <c r="E784" s="7"/>
      <c r="F784" s="20"/>
      <c r="G784" s="7"/>
    </row>
    <row r="785" ht="22.5" hidden="1" customHeight="1">
      <c r="E785" s="7"/>
      <c r="F785" s="20"/>
      <c r="G785" s="7"/>
    </row>
    <row r="786" ht="22.5" hidden="1" customHeight="1">
      <c r="E786" s="7"/>
      <c r="F786" s="20"/>
      <c r="G786" s="7"/>
    </row>
    <row r="787" ht="22.5" hidden="1" customHeight="1">
      <c r="E787" s="7"/>
      <c r="F787" s="20"/>
      <c r="G787" s="7"/>
    </row>
    <row r="788" ht="22.5" hidden="1" customHeight="1">
      <c r="E788" s="7"/>
      <c r="F788" s="20"/>
      <c r="G788" s="7"/>
    </row>
    <row r="789" ht="22.5" hidden="1" customHeight="1">
      <c r="E789" s="7"/>
      <c r="F789" s="20"/>
      <c r="G789" s="7"/>
    </row>
    <row r="790" ht="22.5" hidden="1" customHeight="1">
      <c r="E790" s="7"/>
      <c r="F790" s="20"/>
      <c r="G790" s="7"/>
    </row>
    <row r="791" ht="22.5" hidden="1" customHeight="1">
      <c r="E791" s="7"/>
      <c r="F791" s="20"/>
      <c r="G791" s="7"/>
    </row>
    <row r="792" ht="22.5" hidden="1" customHeight="1">
      <c r="E792" s="7"/>
      <c r="F792" s="20"/>
      <c r="G792" s="7"/>
    </row>
    <row r="793" ht="22.5" hidden="1" customHeight="1">
      <c r="E793" s="7"/>
      <c r="F793" s="20"/>
      <c r="G793" s="7"/>
    </row>
    <row r="794" ht="22.5" hidden="1" customHeight="1">
      <c r="E794" s="7"/>
      <c r="F794" s="20"/>
      <c r="G794" s="7"/>
    </row>
    <row r="795" ht="22.5" hidden="1" customHeight="1">
      <c r="E795" s="7"/>
      <c r="F795" s="20"/>
      <c r="G795" s="7"/>
    </row>
    <row r="796" ht="22.5" hidden="1" customHeight="1">
      <c r="E796" s="7"/>
      <c r="F796" s="20"/>
      <c r="G796" s="7"/>
    </row>
    <row r="797" ht="22.5" hidden="1" customHeight="1">
      <c r="E797" s="7"/>
      <c r="F797" s="20"/>
      <c r="G797" s="7"/>
    </row>
    <row r="798" ht="22.5" hidden="1" customHeight="1">
      <c r="E798" s="7"/>
      <c r="F798" s="20"/>
      <c r="G798" s="7"/>
    </row>
    <row r="799" ht="22.5" hidden="1" customHeight="1">
      <c r="E799" s="7"/>
      <c r="F799" s="20"/>
      <c r="G799" s="7"/>
    </row>
    <row r="800" ht="22.5" hidden="1" customHeight="1">
      <c r="E800" s="7"/>
      <c r="F800" s="20"/>
      <c r="G800" s="7"/>
    </row>
    <row r="801" ht="22.5" hidden="1" customHeight="1">
      <c r="E801" s="7"/>
      <c r="F801" s="20"/>
      <c r="G801" s="7"/>
    </row>
    <row r="802" ht="22.5" hidden="1" customHeight="1">
      <c r="E802" s="7"/>
      <c r="F802" s="20"/>
      <c r="G802" s="7"/>
    </row>
    <row r="803" ht="22.5" hidden="1" customHeight="1">
      <c r="E803" s="7"/>
      <c r="F803" s="20"/>
      <c r="G803" s="7"/>
    </row>
    <row r="804" ht="22.5" hidden="1" customHeight="1">
      <c r="E804" s="7"/>
      <c r="F804" s="20"/>
      <c r="G804" s="7"/>
    </row>
    <row r="805" ht="22.5" hidden="1" customHeight="1">
      <c r="E805" s="7"/>
      <c r="F805" s="20"/>
      <c r="G805" s="7"/>
    </row>
    <row r="806" ht="22.5" hidden="1" customHeight="1">
      <c r="E806" s="7"/>
      <c r="F806" s="20"/>
      <c r="G806" s="7"/>
    </row>
    <row r="807" ht="22.5" hidden="1" customHeight="1">
      <c r="E807" s="7"/>
      <c r="F807" s="20"/>
      <c r="G807" s="7"/>
    </row>
    <row r="808" ht="22.5" hidden="1" customHeight="1">
      <c r="E808" s="7"/>
      <c r="F808" s="20"/>
      <c r="G808" s="7"/>
    </row>
    <row r="809" ht="22.5" hidden="1" customHeight="1">
      <c r="E809" s="7"/>
      <c r="F809" s="20"/>
      <c r="G809" s="7"/>
    </row>
    <row r="810" ht="22.5" hidden="1" customHeight="1">
      <c r="E810" s="7"/>
      <c r="F810" s="20"/>
      <c r="G810" s="7"/>
    </row>
    <row r="811" ht="22.5" hidden="1" customHeight="1">
      <c r="E811" s="7"/>
      <c r="F811" s="20"/>
      <c r="G811" s="7"/>
    </row>
    <row r="812" ht="22.5" hidden="1" customHeight="1">
      <c r="E812" s="7"/>
      <c r="F812" s="20"/>
      <c r="G812" s="7"/>
    </row>
    <row r="813" ht="22.5" hidden="1" customHeight="1">
      <c r="E813" s="7"/>
      <c r="F813" s="20"/>
      <c r="G813" s="7"/>
    </row>
    <row r="814" ht="22.5" hidden="1" customHeight="1">
      <c r="E814" s="7"/>
      <c r="F814" s="20"/>
      <c r="G814" s="7"/>
    </row>
    <row r="815" ht="22.5" hidden="1" customHeight="1">
      <c r="E815" s="7"/>
      <c r="F815" s="20"/>
      <c r="G815" s="7"/>
    </row>
    <row r="816" ht="22.5" hidden="1" customHeight="1">
      <c r="E816" s="7"/>
      <c r="F816" s="20"/>
      <c r="G816" s="7"/>
    </row>
    <row r="817" ht="22.5" hidden="1" customHeight="1">
      <c r="E817" s="7"/>
      <c r="F817" s="20"/>
      <c r="G817" s="7"/>
    </row>
    <row r="818" ht="22.5" hidden="1" customHeight="1">
      <c r="E818" s="7"/>
      <c r="F818" s="20"/>
      <c r="G818" s="7"/>
    </row>
    <row r="819" ht="22.5" hidden="1" customHeight="1">
      <c r="E819" s="7"/>
      <c r="F819" s="20"/>
      <c r="G819" s="7"/>
    </row>
    <row r="820" ht="22.5" hidden="1" customHeight="1">
      <c r="E820" s="7"/>
      <c r="F820" s="20"/>
      <c r="G820" s="7"/>
    </row>
    <row r="821" ht="22.5" hidden="1" customHeight="1">
      <c r="E821" s="7"/>
      <c r="F821" s="20"/>
      <c r="G821" s="7"/>
    </row>
    <row r="822" ht="22.5" hidden="1" customHeight="1">
      <c r="E822" s="7"/>
      <c r="F822" s="20"/>
      <c r="G822" s="7"/>
    </row>
    <row r="823" ht="22.5" hidden="1" customHeight="1">
      <c r="E823" s="7"/>
      <c r="F823" s="20"/>
      <c r="G823" s="7"/>
    </row>
    <row r="824" ht="22.5" hidden="1" customHeight="1">
      <c r="E824" s="7"/>
      <c r="F824" s="20"/>
      <c r="G824" s="7"/>
    </row>
    <row r="825" ht="22.5" hidden="1" customHeight="1">
      <c r="E825" s="7"/>
      <c r="F825" s="20"/>
      <c r="G825" s="7"/>
    </row>
    <row r="826" ht="22.5" hidden="1" customHeight="1">
      <c r="E826" s="7"/>
      <c r="F826" s="20"/>
      <c r="G826" s="7"/>
    </row>
    <row r="827" ht="22.5" hidden="1" customHeight="1">
      <c r="E827" s="7"/>
      <c r="F827" s="20"/>
      <c r="G827" s="7"/>
    </row>
    <row r="828" ht="22.5" hidden="1" customHeight="1">
      <c r="E828" s="7"/>
      <c r="F828" s="20"/>
      <c r="G828" s="7"/>
    </row>
    <row r="829" ht="22.5" hidden="1" customHeight="1">
      <c r="E829" s="7"/>
      <c r="F829" s="20"/>
      <c r="G829" s="7"/>
    </row>
    <row r="830" ht="22.5" hidden="1" customHeight="1">
      <c r="E830" s="7"/>
      <c r="F830" s="20"/>
      <c r="G830" s="7"/>
    </row>
    <row r="831" ht="22.5" hidden="1" customHeight="1">
      <c r="E831" s="7"/>
      <c r="F831" s="20"/>
      <c r="G831" s="7"/>
    </row>
    <row r="832" ht="22.5" hidden="1" customHeight="1">
      <c r="E832" s="7"/>
      <c r="F832" s="20"/>
      <c r="G832" s="7"/>
    </row>
    <row r="833" ht="22.5" hidden="1" customHeight="1">
      <c r="E833" s="7"/>
      <c r="F833" s="20"/>
      <c r="G833" s="7"/>
    </row>
    <row r="834" ht="22.5" hidden="1" customHeight="1">
      <c r="E834" s="7"/>
      <c r="F834" s="20"/>
      <c r="G834" s="7"/>
    </row>
    <row r="835" ht="22.5" hidden="1" customHeight="1">
      <c r="E835" s="7"/>
      <c r="F835" s="20"/>
      <c r="G835" s="7"/>
    </row>
    <row r="836" ht="22.5" hidden="1" customHeight="1">
      <c r="E836" s="7"/>
      <c r="F836" s="20"/>
      <c r="G836" s="7"/>
    </row>
    <row r="837" ht="22.5" hidden="1" customHeight="1">
      <c r="E837" s="7"/>
      <c r="F837" s="20"/>
      <c r="G837" s="7"/>
    </row>
    <row r="838" ht="22.5" hidden="1" customHeight="1">
      <c r="E838" s="7"/>
      <c r="F838" s="20"/>
      <c r="G838" s="7"/>
    </row>
    <row r="839" ht="22.5" hidden="1" customHeight="1">
      <c r="E839" s="7"/>
      <c r="F839" s="20"/>
      <c r="G839" s="7"/>
    </row>
    <row r="840" ht="22.5" hidden="1" customHeight="1">
      <c r="E840" s="7"/>
      <c r="F840" s="20"/>
      <c r="G840" s="7"/>
    </row>
    <row r="841" ht="22.5" hidden="1" customHeight="1">
      <c r="E841" s="7"/>
      <c r="F841" s="20"/>
      <c r="G841" s="7"/>
    </row>
    <row r="842" ht="22.5" hidden="1" customHeight="1">
      <c r="E842" s="7"/>
      <c r="F842" s="20"/>
      <c r="G842" s="7"/>
    </row>
    <row r="843" ht="22.5" hidden="1" customHeight="1">
      <c r="E843" s="7"/>
      <c r="F843" s="20"/>
      <c r="G843" s="7"/>
    </row>
    <row r="844" ht="22.5" hidden="1" customHeight="1">
      <c r="E844" s="7"/>
      <c r="F844" s="20"/>
      <c r="G844" s="7"/>
    </row>
    <row r="845" ht="22.5" hidden="1" customHeight="1">
      <c r="E845" s="7"/>
      <c r="F845" s="20"/>
      <c r="G845" s="7"/>
    </row>
    <row r="846" ht="22.5" hidden="1" customHeight="1">
      <c r="E846" s="7"/>
      <c r="F846" s="20"/>
      <c r="G846" s="7"/>
    </row>
    <row r="847" ht="22.5" hidden="1" customHeight="1">
      <c r="E847" s="7"/>
      <c r="F847" s="20"/>
      <c r="G847" s="7"/>
    </row>
    <row r="848" ht="22.5" hidden="1" customHeight="1">
      <c r="E848" s="7"/>
      <c r="F848" s="20"/>
      <c r="G848" s="7"/>
    </row>
    <row r="849" ht="22.5" hidden="1" customHeight="1">
      <c r="E849" s="7"/>
      <c r="F849" s="20"/>
      <c r="G849" s="7"/>
    </row>
    <row r="850" ht="22.5" hidden="1" customHeight="1">
      <c r="E850" s="7"/>
      <c r="F850" s="20"/>
      <c r="G850" s="7"/>
    </row>
    <row r="851" ht="22.5" hidden="1" customHeight="1">
      <c r="E851" s="7"/>
      <c r="F851" s="20"/>
      <c r="G851" s="7"/>
    </row>
    <row r="852" ht="22.5" hidden="1" customHeight="1">
      <c r="E852" s="7"/>
      <c r="F852" s="20"/>
      <c r="G852" s="7"/>
    </row>
    <row r="853" ht="22.5" hidden="1" customHeight="1">
      <c r="E853" s="7"/>
      <c r="F853" s="20"/>
      <c r="G853" s="7"/>
    </row>
    <row r="854" ht="22.5" hidden="1" customHeight="1">
      <c r="E854" s="7"/>
      <c r="F854" s="20"/>
      <c r="G854" s="7"/>
    </row>
    <row r="855" ht="22.5" hidden="1" customHeight="1">
      <c r="E855" s="7"/>
      <c r="F855" s="20"/>
      <c r="G855" s="7"/>
    </row>
    <row r="856" ht="22.5" hidden="1" customHeight="1">
      <c r="E856" s="7"/>
      <c r="F856" s="20"/>
      <c r="G856" s="7"/>
    </row>
    <row r="857" ht="22.5" hidden="1" customHeight="1">
      <c r="E857" s="7"/>
      <c r="F857" s="20"/>
      <c r="G857" s="7"/>
    </row>
    <row r="858" ht="22.5" hidden="1" customHeight="1">
      <c r="E858" s="7"/>
      <c r="F858" s="20"/>
      <c r="G858" s="7"/>
    </row>
    <row r="859" ht="22.5" hidden="1" customHeight="1">
      <c r="E859" s="7"/>
      <c r="F859" s="20"/>
      <c r="G859" s="7"/>
    </row>
    <row r="860" ht="22.5" hidden="1" customHeight="1">
      <c r="E860" s="7"/>
      <c r="F860" s="20"/>
      <c r="G860" s="7"/>
    </row>
    <row r="861" ht="22.5" hidden="1" customHeight="1">
      <c r="E861" s="7"/>
      <c r="F861" s="20"/>
      <c r="G861" s="7"/>
    </row>
    <row r="862" ht="22.5" hidden="1" customHeight="1">
      <c r="E862" s="7"/>
      <c r="F862" s="20"/>
      <c r="G862" s="7"/>
    </row>
    <row r="863" ht="22.5" hidden="1" customHeight="1">
      <c r="E863" s="7"/>
      <c r="F863" s="20"/>
      <c r="G863" s="7"/>
    </row>
    <row r="864" ht="22.5" hidden="1" customHeight="1">
      <c r="E864" s="7"/>
      <c r="F864" s="20"/>
      <c r="G864" s="7"/>
    </row>
    <row r="865" ht="22.5" hidden="1" customHeight="1">
      <c r="E865" s="7"/>
      <c r="F865" s="20"/>
      <c r="G865" s="7"/>
    </row>
    <row r="866" ht="22.5" hidden="1" customHeight="1">
      <c r="E866" s="7"/>
      <c r="F866" s="20"/>
      <c r="G866" s="7"/>
    </row>
    <row r="867" ht="22.5" hidden="1" customHeight="1">
      <c r="E867" s="7"/>
      <c r="F867" s="20"/>
      <c r="G867" s="7"/>
    </row>
    <row r="868" ht="22.5" hidden="1" customHeight="1">
      <c r="E868" s="7"/>
      <c r="F868" s="20"/>
      <c r="G868" s="7"/>
    </row>
    <row r="869" ht="22.5" hidden="1" customHeight="1">
      <c r="E869" s="7"/>
      <c r="F869" s="20"/>
      <c r="G869" s="7"/>
    </row>
    <row r="870" ht="22.5" hidden="1" customHeight="1">
      <c r="E870" s="7"/>
      <c r="F870" s="20"/>
      <c r="G870" s="7"/>
    </row>
    <row r="871" ht="22.5" hidden="1" customHeight="1">
      <c r="E871" s="7"/>
      <c r="F871" s="20"/>
      <c r="G871" s="7"/>
    </row>
    <row r="872" ht="22.5" hidden="1" customHeight="1">
      <c r="E872" s="7"/>
      <c r="F872" s="20"/>
      <c r="G872" s="7"/>
    </row>
    <row r="873" ht="22.5" hidden="1" customHeight="1">
      <c r="E873" s="7"/>
      <c r="F873" s="20"/>
      <c r="G873" s="7"/>
    </row>
    <row r="874" ht="22.5" hidden="1" customHeight="1">
      <c r="E874" s="7"/>
      <c r="F874" s="20"/>
      <c r="G874" s="7"/>
    </row>
    <row r="875" ht="22.5" hidden="1" customHeight="1">
      <c r="E875" s="7"/>
      <c r="F875" s="20"/>
      <c r="G875" s="7"/>
    </row>
    <row r="876" ht="22.5" hidden="1" customHeight="1">
      <c r="E876" s="7"/>
      <c r="F876" s="20"/>
      <c r="G876" s="7"/>
    </row>
    <row r="877" ht="22.5" hidden="1" customHeight="1">
      <c r="E877" s="7"/>
      <c r="F877" s="20"/>
      <c r="G877" s="7"/>
    </row>
    <row r="878" ht="22.5" hidden="1" customHeight="1">
      <c r="E878" s="7"/>
      <c r="F878" s="20"/>
      <c r="G878" s="7"/>
    </row>
    <row r="879" ht="22.5" hidden="1" customHeight="1">
      <c r="E879" s="7"/>
      <c r="F879" s="20"/>
      <c r="G879" s="7"/>
    </row>
    <row r="880" ht="22.5" hidden="1" customHeight="1">
      <c r="E880" s="7"/>
      <c r="F880" s="20"/>
      <c r="G880" s="7"/>
    </row>
    <row r="881" ht="22.5" hidden="1" customHeight="1">
      <c r="E881" s="7"/>
      <c r="F881" s="20"/>
      <c r="G881" s="7"/>
    </row>
    <row r="882" ht="22.5" hidden="1" customHeight="1">
      <c r="E882" s="7"/>
      <c r="F882" s="20"/>
      <c r="G882" s="7"/>
    </row>
    <row r="883" ht="22.5" hidden="1" customHeight="1">
      <c r="E883" s="7"/>
      <c r="F883" s="20"/>
      <c r="G883" s="7"/>
    </row>
    <row r="884" ht="22.5" hidden="1" customHeight="1">
      <c r="E884" s="7"/>
      <c r="F884" s="20"/>
      <c r="G884" s="7"/>
    </row>
    <row r="885" ht="22.5" hidden="1" customHeight="1">
      <c r="E885" s="7"/>
      <c r="F885" s="20"/>
      <c r="G885" s="7"/>
    </row>
    <row r="886" ht="22.5" hidden="1" customHeight="1">
      <c r="E886" s="7"/>
      <c r="F886" s="20"/>
      <c r="G886" s="7"/>
    </row>
    <row r="887" ht="22.5" hidden="1" customHeight="1">
      <c r="E887" s="7"/>
      <c r="F887" s="20"/>
      <c r="G887" s="7"/>
    </row>
    <row r="888" ht="22.5" hidden="1" customHeight="1">
      <c r="E888" s="7"/>
      <c r="F888" s="20"/>
      <c r="G888" s="7"/>
    </row>
    <row r="889" ht="22.5" hidden="1" customHeight="1">
      <c r="E889" s="7"/>
      <c r="F889" s="20"/>
      <c r="G889" s="7"/>
    </row>
    <row r="890" ht="22.5" hidden="1" customHeight="1">
      <c r="E890" s="7"/>
      <c r="F890" s="20"/>
      <c r="G890" s="7"/>
    </row>
    <row r="891" ht="22.5" hidden="1" customHeight="1">
      <c r="E891" s="7"/>
      <c r="F891" s="20"/>
      <c r="G891" s="7"/>
    </row>
    <row r="892" ht="22.5" hidden="1" customHeight="1">
      <c r="E892" s="7"/>
      <c r="F892" s="20"/>
      <c r="G892" s="7"/>
    </row>
    <row r="893" ht="22.5" hidden="1" customHeight="1">
      <c r="E893" s="7"/>
      <c r="F893" s="20"/>
      <c r="G893" s="7"/>
    </row>
    <row r="894" ht="22.5" hidden="1" customHeight="1">
      <c r="E894" s="7"/>
      <c r="F894" s="20"/>
      <c r="G894" s="7"/>
    </row>
    <row r="895" ht="22.5" hidden="1" customHeight="1">
      <c r="E895" s="7"/>
      <c r="F895" s="20"/>
      <c r="G895" s="7"/>
    </row>
    <row r="896" ht="22.5" hidden="1" customHeight="1">
      <c r="E896" s="7"/>
      <c r="F896" s="20"/>
      <c r="G896" s="7"/>
    </row>
    <row r="897" ht="22.5" hidden="1" customHeight="1">
      <c r="E897" s="7"/>
      <c r="F897" s="20"/>
      <c r="G897" s="7"/>
    </row>
    <row r="898" ht="22.5" hidden="1" customHeight="1">
      <c r="E898" s="7"/>
      <c r="F898" s="20"/>
      <c r="G898" s="7"/>
    </row>
    <row r="899" ht="22.5" hidden="1" customHeight="1">
      <c r="E899" s="7"/>
      <c r="F899" s="20"/>
      <c r="G899" s="7"/>
    </row>
    <row r="900" ht="22.5" hidden="1" customHeight="1">
      <c r="E900" s="7"/>
      <c r="F900" s="20"/>
      <c r="G900" s="7"/>
    </row>
    <row r="901" ht="22.5" hidden="1" customHeight="1">
      <c r="E901" s="7"/>
      <c r="F901" s="20"/>
      <c r="G901" s="7"/>
    </row>
    <row r="902" ht="22.5" hidden="1" customHeight="1">
      <c r="E902" s="7"/>
      <c r="F902" s="20"/>
      <c r="G902" s="7"/>
    </row>
    <row r="903" ht="22.5" hidden="1" customHeight="1">
      <c r="E903" s="7"/>
      <c r="F903" s="20"/>
      <c r="G903" s="7"/>
    </row>
    <row r="904" ht="22.5" hidden="1" customHeight="1">
      <c r="E904" s="7"/>
      <c r="F904" s="20"/>
      <c r="G904" s="7"/>
    </row>
    <row r="905" ht="22.5" hidden="1" customHeight="1">
      <c r="E905" s="7"/>
      <c r="F905" s="20"/>
      <c r="G905" s="7"/>
    </row>
    <row r="906" ht="22.5" hidden="1" customHeight="1">
      <c r="E906" s="7"/>
      <c r="F906" s="20"/>
      <c r="G906" s="7"/>
    </row>
    <row r="907" ht="22.5" hidden="1" customHeight="1">
      <c r="E907" s="7"/>
      <c r="F907" s="20"/>
      <c r="G907" s="7"/>
    </row>
    <row r="908" ht="22.5" hidden="1" customHeight="1">
      <c r="E908" s="7"/>
      <c r="F908" s="20"/>
      <c r="G908" s="7"/>
    </row>
    <row r="909" ht="22.5" hidden="1" customHeight="1">
      <c r="E909" s="7"/>
      <c r="F909" s="20"/>
      <c r="G909" s="7"/>
    </row>
    <row r="910" ht="22.5" hidden="1" customHeight="1">
      <c r="E910" s="7"/>
      <c r="F910" s="20"/>
      <c r="G910" s="7"/>
    </row>
    <row r="911" ht="22.5" hidden="1" customHeight="1">
      <c r="E911" s="7"/>
      <c r="F911" s="20"/>
      <c r="G911" s="7"/>
    </row>
    <row r="912" ht="22.5" hidden="1" customHeight="1">
      <c r="E912" s="7"/>
      <c r="F912" s="20"/>
      <c r="G912" s="7"/>
    </row>
    <row r="913" ht="22.5" hidden="1" customHeight="1">
      <c r="E913" s="7"/>
      <c r="F913" s="20"/>
      <c r="G913" s="7"/>
    </row>
    <row r="914" ht="22.5" hidden="1" customHeight="1">
      <c r="E914" s="7"/>
      <c r="F914" s="20"/>
      <c r="G914" s="7"/>
    </row>
    <row r="915" ht="22.5" hidden="1" customHeight="1">
      <c r="E915" s="7"/>
      <c r="F915" s="20"/>
      <c r="G915" s="7"/>
    </row>
    <row r="916" ht="22.5" hidden="1" customHeight="1">
      <c r="E916" s="7"/>
      <c r="F916" s="20"/>
      <c r="G916" s="7"/>
    </row>
    <row r="917" ht="22.5" hidden="1" customHeight="1">
      <c r="E917" s="7"/>
      <c r="F917" s="20"/>
      <c r="G917" s="7"/>
    </row>
    <row r="918" ht="22.5" hidden="1" customHeight="1">
      <c r="E918" s="7"/>
      <c r="F918" s="20"/>
      <c r="G918" s="7"/>
    </row>
    <row r="919" ht="22.5" hidden="1" customHeight="1">
      <c r="E919" s="7"/>
      <c r="F919" s="20"/>
      <c r="G919" s="7"/>
    </row>
    <row r="920" ht="22.5" hidden="1" customHeight="1">
      <c r="E920" s="7"/>
      <c r="F920" s="20"/>
      <c r="G920" s="7"/>
    </row>
    <row r="921" ht="22.5" hidden="1" customHeight="1">
      <c r="E921" s="7"/>
      <c r="F921" s="20"/>
      <c r="G921" s="7"/>
    </row>
    <row r="922" ht="22.5" hidden="1" customHeight="1">
      <c r="E922" s="7"/>
      <c r="F922" s="20"/>
      <c r="G922" s="7"/>
    </row>
    <row r="923" ht="22.5" hidden="1" customHeight="1">
      <c r="E923" s="7"/>
      <c r="F923" s="20"/>
      <c r="G923" s="7"/>
    </row>
    <row r="924" ht="22.5" hidden="1" customHeight="1">
      <c r="E924" s="7"/>
      <c r="F924" s="20"/>
      <c r="G924" s="7"/>
    </row>
    <row r="925" ht="22.5" hidden="1" customHeight="1">
      <c r="E925" s="7"/>
      <c r="F925" s="20"/>
      <c r="G925" s="7"/>
    </row>
    <row r="926" ht="22.5" hidden="1" customHeight="1">
      <c r="E926" s="7"/>
      <c r="F926" s="20"/>
      <c r="G926" s="7"/>
    </row>
    <row r="927" ht="22.5" hidden="1" customHeight="1">
      <c r="E927" s="7"/>
      <c r="F927" s="20"/>
      <c r="G927" s="7"/>
    </row>
    <row r="928" ht="22.5" hidden="1" customHeight="1">
      <c r="E928" s="7"/>
      <c r="F928" s="20"/>
      <c r="G928" s="7"/>
    </row>
    <row r="929" ht="22.5" hidden="1" customHeight="1">
      <c r="E929" s="7"/>
      <c r="F929" s="20"/>
      <c r="G929" s="7"/>
    </row>
    <row r="930" ht="22.5" hidden="1" customHeight="1">
      <c r="E930" s="7"/>
      <c r="F930" s="20"/>
      <c r="G930" s="7"/>
    </row>
    <row r="931" ht="22.5" hidden="1" customHeight="1">
      <c r="E931" s="7"/>
      <c r="F931" s="20"/>
      <c r="G931" s="7"/>
    </row>
    <row r="932" ht="22.5" hidden="1" customHeight="1">
      <c r="E932" s="7"/>
      <c r="F932" s="20"/>
      <c r="G932" s="7"/>
    </row>
    <row r="933" ht="22.5" hidden="1" customHeight="1">
      <c r="E933" s="7"/>
      <c r="F933" s="20"/>
      <c r="G933" s="7"/>
    </row>
    <row r="934" ht="22.5" hidden="1" customHeight="1">
      <c r="E934" s="7"/>
      <c r="F934" s="20"/>
      <c r="G934" s="7"/>
    </row>
    <row r="935" ht="22.5" hidden="1" customHeight="1">
      <c r="E935" s="7"/>
      <c r="F935" s="20"/>
      <c r="G935" s="7"/>
    </row>
    <row r="936" ht="22.5" hidden="1" customHeight="1">
      <c r="E936" s="7"/>
      <c r="F936" s="20"/>
      <c r="G936" s="7"/>
    </row>
    <row r="937" ht="22.5" hidden="1" customHeight="1">
      <c r="E937" s="7"/>
      <c r="F937" s="20"/>
      <c r="G937" s="7"/>
    </row>
    <row r="938" ht="22.5" hidden="1" customHeight="1">
      <c r="E938" s="7"/>
      <c r="F938" s="20"/>
      <c r="G938" s="7"/>
    </row>
    <row r="939" ht="22.5" hidden="1" customHeight="1">
      <c r="E939" s="7"/>
      <c r="F939" s="20"/>
      <c r="G939" s="7"/>
    </row>
    <row r="940" ht="22.5" hidden="1" customHeight="1">
      <c r="E940" s="7"/>
      <c r="F940" s="20"/>
      <c r="G940" s="7"/>
    </row>
    <row r="941" ht="22.5" hidden="1" customHeight="1">
      <c r="E941" s="7"/>
      <c r="F941" s="20"/>
      <c r="G941" s="7"/>
    </row>
    <row r="942" ht="22.5" hidden="1" customHeight="1">
      <c r="E942" s="7"/>
      <c r="F942" s="20"/>
      <c r="G942" s="7"/>
    </row>
    <row r="943" ht="22.5" hidden="1" customHeight="1">
      <c r="E943" s="7"/>
      <c r="F943" s="20"/>
      <c r="G943" s="7"/>
    </row>
    <row r="944" ht="22.5" hidden="1" customHeight="1">
      <c r="E944" s="7"/>
      <c r="F944" s="20"/>
      <c r="G944" s="7"/>
    </row>
    <row r="945" ht="22.5" hidden="1" customHeight="1">
      <c r="E945" s="7"/>
      <c r="F945" s="20"/>
      <c r="G945" s="7"/>
    </row>
    <row r="946" ht="22.5" hidden="1" customHeight="1">
      <c r="E946" s="7"/>
      <c r="F946" s="20"/>
      <c r="G946" s="7"/>
    </row>
    <row r="947" ht="22.5" hidden="1" customHeight="1">
      <c r="E947" s="7"/>
      <c r="F947" s="20"/>
      <c r="G947" s="7"/>
    </row>
    <row r="948" ht="22.5" hidden="1" customHeight="1">
      <c r="E948" s="7"/>
      <c r="F948" s="20"/>
      <c r="G948" s="7"/>
    </row>
    <row r="949" ht="22.5" hidden="1" customHeight="1">
      <c r="E949" s="7"/>
      <c r="F949" s="20"/>
      <c r="G949" s="7"/>
    </row>
    <row r="950" ht="22.5" hidden="1" customHeight="1">
      <c r="E950" s="7"/>
      <c r="F950" s="20"/>
      <c r="G950" s="7"/>
    </row>
    <row r="951" ht="22.5" hidden="1" customHeight="1">
      <c r="E951" s="7"/>
      <c r="F951" s="20"/>
      <c r="G951" s="7"/>
    </row>
    <row r="952" ht="22.5" hidden="1" customHeight="1">
      <c r="E952" s="7"/>
      <c r="F952" s="20"/>
      <c r="G952" s="7"/>
    </row>
    <row r="953" ht="22.5" hidden="1" customHeight="1">
      <c r="E953" s="7"/>
      <c r="F953" s="20"/>
      <c r="G953" s="7"/>
    </row>
    <row r="954" ht="22.5" hidden="1" customHeight="1">
      <c r="E954" s="7"/>
      <c r="F954" s="20"/>
      <c r="G954" s="7"/>
    </row>
    <row r="955" ht="22.5" hidden="1" customHeight="1">
      <c r="E955" s="7"/>
      <c r="F955" s="20"/>
      <c r="G955" s="7"/>
    </row>
    <row r="956" ht="22.5" hidden="1" customHeight="1">
      <c r="E956" s="7"/>
      <c r="F956" s="20"/>
      <c r="G956" s="7"/>
    </row>
    <row r="957" ht="22.5" hidden="1" customHeight="1">
      <c r="E957" s="7"/>
      <c r="F957" s="20"/>
      <c r="G957" s="7"/>
    </row>
    <row r="958" ht="22.5" hidden="1" customHeight="1">
      <c r="E958" s="7"/>
      <c r="F958" s="20"/>
      <c r="G958" s="7"/>
    </row>
    <row r="959" ht="22.5" hidden="1" customHeight="1">
      <c r="E959" s="7"/>
      <c r="F959" s="20"/>
      <c r="G959" s="7"/>
    </row>
    <row r="960" ht="22.5" hidden="1" customHeight="1">
      <c r="E960" s="7"/>
      <c r="F960" s="20"/>
      <c r="G960" s="7"/>
    </row>
    <row r="961" ht="22.5" hidden="1" customHeight="1">
      <c r="E961" s="7"/>
      <c r="F961" s="20"/>
      <c r="G961" s="7"/>
    </row>
    <row r="962" ht="22.5" hidden="1" customHeight="1">
      <c r="E962" s="7"/>
      <c r="F962" s="20"/>
      <c r="G962" s="7"/>
    </row>
    <row r="963" ht="22.5" hidden="1" customHeight="1">
      <c r="E963" s="7"/>
      <c r="F963" s="20"/>
      <c r="G963" s="7"/>
    </row>
    <row r="964" ht="22.5" hidden="1" customHeight="1">
      <c r="E964" s="7"/>
      <c r="F964" s="20"/>
      <c r="G964" s="7"/>
    </row>
    <row r="965" ht="22.5" hidden="1" customHeight="1">
      <c r="E965" s="7"/>
      <c r="F965" s="20"/>
      <c r="G965" s="7"/>
    </row>
    <row r="966" ht="22.5" hidden="1" customHeight="1">
      <c r="E966" s="7"/>
      <c r="F966" s="20"/>
      <c r="G966" s="7"/>
    </row>
    <row r="967" ht="22.5" hidden="1" customHeight="1">
      <c r="E967" s="7"/>
      <c r="F967" s="20"/>
      <c r="G967" s="7"/>
    </row>
    <row r="968" ht="22.5" hidden="1" customHeight="1">
      <c r="E968" s="7"/>
      <c r="F968" s="20"/>
      <c r="G968" s="7"/>
    </row>
    <row r="969" ht="22.5" hidden="1" customHeight="1">
      <c r="E969" s="7"/>
      <c r="F969" s="20"/>
      <c r="G969" s="7"/>
    </row>
    <row r="970" ht="22.5" hidden="1" customHeight="1">
      <c r="E970" s="7"/>
      <c r="F970" s="20"/>
      <c r="G970" s="7"/>
    </row>
    <row r="971" ht="22.5" hidden="1" customHeight="1">
      <c r="E971" s="7"/>
      <c r="F971" s="20"/>
      <c r="G971" s="7"/>
    </row>
    <row r="972" ht="22.5" hidden="1" customHeight="1">
      <c r="E972" s="7"/>
      <c r="F972" s="20"/>
      <c r="G972" s="7"/>
    </row>
    <row r="973" ht="22.5" hidden="1" customHeight="1">
      <c r="E973" s="7"/>
      <c r="F973" s="20"/>
      <c r="G973" s="7"/>
    </row>
    <row r="974" ht="22.5" hidden="1" customHeight="1">
      <c r="E974" s="7"/>
      <c r="F974" s="20"/>
      <c r="G974" s="7"/>
    </row>
    <row r="975" ht="22.5" hidden="1" customHeight="1">
      <c r="E975" s="7"/>
      <c r="F975" s="20"/>
      <c r="G975" s="7"/>
    </row>
    <row r="976" ht="22.5" hidden="1" customHeight="1">
      <c r="E976" s="7"/>
      <c r="F976" s="20"/>
      <c r="G976" s="7"/>
    </row>
    <row r="977" ht="22.5" hidden="1" customHeight="1">
      <c r="E977" s="7"/>
      <c r="F977" s="20"/>
      <c r="G977" s="7"/>
    </row>
    <row r="978" ht="22.5" hidden="1" customHeight="1">
      <c r="E978" s="7"/>
      <c r="F978" s="20"/>
      <c r="G978" s="7"/>
    </row>
    <row r="979" ht="22.5" hidden="1" customHeight="1">
      <c r="E979" s="7"/>
      <c r="F979" s="20"/>
      <c r="G979" s="7"/>
    </row>
    <row r="980" ht="22.5" hidden="1" customHeight="1">
      <c r="E980" s="7"/>
      <c r="F980" s="20"/>
      <c r="G980" s="7"/>
    </row>
    <row r="981" ht="22.5" hidden="1" customHeight="1">
      <c r="E981" s="7"/>
      <c r="F981" s="20"/>
      <c r="G981" s="7"/>
    </row>
    <row r="982" ht="22.5" hidden="1" customHeight="1">
      <c r="E982" s="7"/>
      <c r="F982" s="20"/>
      <c r="G982" s="7"/>
    </row>
    <row r="983" ht="22.5" hidden="1" customHeight="1">
      <c r="E983" s="7"/>
      <c r="F983" s="20"/>
      <c r="G983" s="7"/>
    </row>
    <row r="984" ht="22.5" hidden="1" customHeight="1">
      <c r="E984" s="7"/>
      <c r="F984" s="20"/>
      <c r="G984" s="7"/>
    </row>
    <row r="985" ht="22.5" hidden="1" customHeight="1">
      <c r="E985" s="7"/>
      <c r="F985" s="20"/>
      <c r="G985" s="7"/>
    </row>
    <row r="986" ht="22.5" hidden="1" customHeight="1">
      <c r="E986" s="7"/>
      <c r="F986" s="20"/>
      <c r="G986" s="7"/>
    </row>
    <row r="987" ht="22.5" hidden="1" customHeight="1">
      <c r="E987" s="7"/>
      <c r="F987" s="20"/>
      <c r="G987" s="7"/>
    </row>
    <row r="988" ht="22.5" hidden="1" customHeight="1">
      <c r="E988" s="7"/>
      <c r="F988" s="20"/>
      <c r="G988" s="7"/>
    </row>
    <row r="989" ht="22.5" hidden="1" customHeight="1">
      <c r="E989" s="7"/>
      <c r="F989" s="20"/>
      <c r="G989" s="7"/>
    </row>
    <row r="990" ht="22.5" hidden="1" customHeight="1">
      <c r="E990" s="7"/>
      <c r="F990" s="20"/>
      <c r="G990" s="7"/>
    </row>
    <row r="991" ht="22.5" hidden="1" customHeight="1">
      <c r="E991" s="7"/>
      <c r="F991" s="20"/>
      <c r="G991" s="7"/>
    </row>
    <row r="992" ht="22.5" hidden="1" customHeight="1">
      <c r="E992" s="7"/>
      <c r="F992" s="20"/>
      <c r="G992" s="7"/>
    </row>
    <row r="993" ht="22.5" hidden="1" customHeight="1">
      <c r="E993" s="7"/>
      <c r="F993" s="20"/>
      <c r="G993" s="7"/>
    </row>
    <row r="994" ht="22.5" hidden="1" customHeight="1">
      <c r="E994" s="7"/>
      <c r="F994" s="20"/>
      <c r="G994" s="7"/>
    </row>
    <row r="995" ht="22.5" hidden="1" customHeight="1">
      <c r="E995" s="7"/>
      <c r="F995" s="20"/>
      <c r="G995" s="7"/>
    </row>
    <row r="996" ht="22.5" hidden="1" customHeight="1">
      <c r="E996" s="7"/>
      <c r="F996" s="20"/>
      <c r="G996" s="7"/>
    </row>
    <row r="997" ht="22.5" hidden="1" customHeight="1">
      <c r="E997" s="7"/>
      <c r="F997" s="20"/>
      <c r="G997" s="7"/>
    </row>
  </sheetData>
  <dataValidations>
    <dataValidation type="custom" allowBlank="1" showDropDown="1" sqref="E2:G997">
      <formula1>AND(ISNUMBER(E2),(NOT(OR(NOT(ISERROR(DATEVALUE(E2))), AND(ISNUMBER(E2), LEFT(CELL("format", E2))="D")))))</formula1>
    </dataValidation>
  </dataValidations>
  <printOptions/>
  <pageMargins bottom="1.0" footer="0.0" header="0.0" left="0.75" right="0.75" top="1.0"/>
  <pageSetup orientation="landscape"/>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5.43"/>
    <col customWidth="1" min="2" max="2" width="31.57"/>
    <col customWidth="1" min="3" max="3" width="16.71"/>
    <col customWidth="1" min="4" max="4" width="38.71"/>
    <col customWidth="1" min="5" max="5" width="19.29"/>
    <col customWidth="1" min="6" max="6" width="17.86"/>
    <col customWidth="1" min="7" max="7" width="18.43"/>
    <col customWidth="1" min="8" max="9" width="43.0"/>
    <col customWidth="1" min="10" max="10" width="18.0"/>
    <col customWidth="1" min="11" max="11" width="29.57"/>
    <col customWidth="1" min="12" max="12" width="21.0"/>
    <col customWidth="1" min="13" max="13" width="18.0"/>
    <col customWidth="1" min="14" max="14" width="29.43"/>
    <col customWidth="1" min="15" max="15" width="21.0"/>
    <col customWidth="1" min="16" max="16" width="18.0"/>
    <col customWidth="1" min="17" max="17" width="29.57"/>
    <col customWidth="1" min="18" max="18" width="21.0"/>
    <col customWidth="1" min="19" max="19" width="18.0"/>
    <col customWidth="1" min="20" max="20" width="18.14"/>
    <col customWidth="1" min="21" max="21" width="21.0"/>
    <col customWidth="1" min="22" max="22" width="18.0"/>
    <col customWidth="1" min="23" max="23" width="18.14"/>
    <col customWidth="1" min="24" max="24" width="21.0"/>
    <col customWidth="1" min="25" max="25" width="18.0"/>
    <col customWidth="1" min="26" max="26" width="13.71"/>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1" t="s">
        <v>240</v>
      </c>
    </row>
    <row r="2" ht="22.5" customHeight="1">
      <c r="A2" s="2">
        <v>2017151.0</v>
      </c>
      <c r="B2" s="3" t="s">
        <v>241</v>
      </c>
      <c r="C2" s="4">
        <v>5.515996789517E12</v>
      </c>
      <c r="D2" s="3" t="s">
        <v>29</v>
      </c>
      <c r="E2" s="5">
        <v>800.87</v>
      </c>
      <c r="F2" s="6">
        <v>0.25</v>
      </c>
      <c r="G2" s="7">
        <f t="shared" ref="G2:G78" si="1">E2*(1-F2)</f>
        <v>600.6525</v>
      </c>
      <c r="H2" s="3" t="s">
        <v>108</v>
      </c>
      <c r="I2" s="3" t="s">
        <v>31</v>
      </c>
      <c r="J2" s="3" t="s">
        <v>61</v>
      </c>
    </row>
    <row r="3" ht="22.5" customHeight="1">
      <c r="A3" s="2">
        <v>2016504.0</v>
      </c>
      <c r="B3" s="3" t="s">
        <v>242</v>
      </c>
      <c r="C3" s="4">
        <v>5.515998107516E12</v>
      </c>
      <c r="D3" s="3" t="s">
        <v>58</v>
      </c>
      <c r="E3" s="5">
        <v>750.0</v>
      </c>
      <c r="F3" s="6">
        <v>0.25</v>
      </c>
      <c r="G3" s="7">
        <f t="shared" si="1"/>
        <v>562.5</v>
      </c>
      <c r="H3" s="3" t="s">
        <v>37</v>
      </c>
      <c r="I3" s="3" t="s">
        <v>243</v>
      </c>
      <c r="J3" s="3" t="s">
        <v>170</v>
      </c>
    </row>
    <row r="4" ht="22.5" customHeight="1">
      <c r="A4" s="2">
        <v>2016226.0</v>
      </c>
      <c r="B4" s="3" t="s">
        <v>244</v>
      </c>
      <c r="C4" s="4">
        <v>5.515997895952E12</v>
      </c>
      <c r="D4" s="3" t="s">
        <v>155</v>
      </c>
      <c r="E4" s="5">
        <v>1213.12</v>
      </c>
      <c r="F4" s="6">
        <v>0.25</v>
      </c>
      <c r="G4" s="7">
        <f t="shared" si="1"/>
        <v>909.84</v>
      </c>
      <c r="H4" s="3" t="s">
        <v>62</v>
      </c>
      <c r="I4" s="3" t="s">
        <v>245</v>
      </c>
      <c r="J4" s="3" t="s">
        <v>186</v>
      </c>
    </row>
    <row r="5" ht="22.5" customHeight="1">
      <c r="A5" s="2">
        <v>2016183.0</v>
      </c>
      <c r="B5" s="3" t="s">
        <v>246</v>
      </c>
      <c r="C5" s="4">
        <v>5.515991853741E12</v>
      </c>
      <c r="D5" s="3" t="s">
        <v>58</v>
      </c>
      <c r="E5" s="5">
        <v>3211.13</v>
      </c>
      <c r="F5" s="6">
        <v>0.25</v>
      </c>
      <c r="G5" s="7">
        <f t="shared" si="1"/>
        <v>2408.3475</v>
      </c>
      <c r="H5" s="3" t="s">
        <v>83</v>
      </c>
      <c r="I5" s="3" t="s">
        <v>225</v>
      </c>
      <c r="J5" s="3" t="s">
        <v>32</v>
      </c>
      <c r="K5" s="3" t="s">
        <v>203</v>
      </c>
      <c r="L5" s="3" t="s">
        <v>225</v>
      </c>
      <c r="M5" s="3" t="s">
        <v>32</v>
      </c>
      <c r="N5" s="3" t="s">
        <v>85</v>
      </c>
      <c r="O5" s="3" t="s">
        <v>225</v>
      </c>
      <c r="P5" s="3" t="s">
        <v>32</v>
      </c>
      <c r="Q5" s="3" t="s">
        <v>108</v>
      </c>
      <c r="R5" s="3" t="s">
        <v>31</v>
      </c>
      <c r="S5" s="3" t="s">
        <v>56</v>
      </c>
    </row>
    <row r="6" ht="22.5" customHeight="1">
      <c r="A6" s="2">
        <v>2016089.0</v>
      </c>
      <c r="B6" s="3" t="s">
        <v>247</v>
      </c>
      <c r="C6" s="4">
        <v>5.515992710647E12</v>
      </c>
      <c r="D6" s="3" t="s">
        <v>58</v>
      </c>
      <c r="E6" s="5">
        <v>4690.15</v>
      </c>
      <c r="F6" s="6">
        <v>0.25</v>
      </c>
      <c r="G6" s="7">
        <f t="shared" si="1"/>
        <v>3517.6125</v>
      </c>
      <c r="H6" s="3" t="s">
        <v>41</v>
      </c>
      <c r="I6" s="3" t="s">
        <v>31</v>
      </c>
      <c r="J6" s="3" t="s">
        <v>32</v>
      </c>
    </row>
    <row r="7" ht="22.5" customHeight="1">
      <c r="A7" s="2">
        <v>2015861.0</v>
      </c>
      <c r="B7" s="3" t="s">
        <v>248</v>
      </c>
      <c r="C7" s="4">
        <v>5.515998239836E12</v>
      </c>
      <c r="D7" s="3" t="s">
        <v>68</v>
      </c>
      <c r="E7" s="5">
        <v>4690.15</v>
      </c>
      <c r="F7" s="6">
        <v>0.25</v>
      </c>
      <c r="G7" s="7">
        <f t="shared" si="1"/>
        <v>3517.6125</v>
      </c>
      <c r="H7" s="3" t="s">
        <v>41</v>
      </c>
      <c r="I7" s="3" t="s">
        <v>31</v>
      </c>
      <c r="J7" s="3" t="s">
        <v>32</v>
      </c>
    </row>
    <row r="8" ht="22.5" customHeight="1">
      <c r="A8" s="2">
        <v>2015489.0</v>
      </c>
      <c r="B8" s="3" t="s">
        <v>249</v>
      </c>
      <c r="C8" s="4">
        <v>5.515981303605E12</v>
      </c>
      <c r="D8" s="3" t="s">
        <v>184</v>
      </c>
      <c r="E8" s="5">
        <v>4677.5</v>
      </c>
      <c r="F8" s="6">
        <v>0.25</v>
      </c>
      <c r="G8" s="7">
        <f t="shared" si="1"/>
        <v>3508.125</v>
      </c>
      <c r="H8" s="3" t="s">
        <v>41</v>
      </c>
      <c r="I8" s="3" t="s">
        <v>31</v>
      </c>
      <c r="J8" s="3" t="s">
        <v>32</v>
      </c>
    </row>
    <row r="9" ht="22.5" customHeight="1">
      <c r="A9" s="2">
        <v>2015402.0</v>
      </c>
      <c r="B9" s="3" t="s">
        <v>250</v>
      </c>
      <c r="C9" s="4">
        <v>5.515996085519E12</v>
      </c>
      <c r="D9" s="3" t="s">
        <v>68</v>
      </c>
      <c r="E9" s="5">
        <v>1486.63</v>
      </c>
      <c r="F9" s="6">
        <v>0.25</v>
      </c>
      <c r="G9" s="7">
        <f t="shared" si="1"/>
        <v>1114.9725</v>
      </c>
      <c r="H9" s="3" t="s">
        <v>165</v>
      </c>
      <c r="I9" s="3" t="s">
        <v>44</v>
      </c>
      <c r="J9" s="3" t="s">
        <v>32</v>
      </c>
    </row>
    <row r="10" ht="22.5" customHeight="1">
      <c r="A10" s="2">
        <v>2014985.0</v>
      </c>
      <c r="B10" s="3" t="s">
        <v>251</v>
      </c>
      <c r="C10" s="4">
        <v>5.515991120931E12</v>
      </c>
      <c r="D10" s="3" t="s">
        <v>89</v>
      </c>
      <c r="E10" s="5">
        <v>17454.15</v>
      </c>
      <c r="F10" s="6">
        <v>0.25</v>
      </c>
      <c r="G10" s="7">
        <f t="shared" si="1"/>
        <v>13090.6125</v>
      </c>
      <c r="H10" s="3" t="s">
        <v>252</v>
      </c>
      <c r="I10" s="3" t="s">
        <v>253</v>
      </c>
      <c r="J10" s="3" t="s">
        <v>254</v>
      </c>
    </row>
    <row r="11" ht="22.5" customHeight="1">
      <c r="A11" s="2">
        <v>2014983.0</v>
      </c>
      <c r="B11" s="3" t="s">
        <v>251</v>
      </c>
      <c r="C11" s="4">
        <v>5.515991120931E12</v>
      </c>
      <c r="D11" s="3" t="s">
        <v>89</v>
      </c>
      <c r="E11" s="5">
        <v>4256.5</v>
      </c>
      <c r="F11" s="6">
        <v>0.25</v>
      </c>
      <c r="G11" s="7">
        <f t="shared" si="1"/>
        <v>3192.375</v>
      </c>
      <c r="H11" s="3" t="s">
        <v>116</v>
      </c>
      <c r="I11" s="3" t="s">
        <v>253</v>
      </c>
      <c r="J11" s="3" t="s">
        <v>254</v>
      </c>
    </row>
    <row r="12" ht="22.5" customHeight="1">
      <c r="A12" s="2">
        <v>2014978.0</v>
      </c>
      <c r="B12" s="3" t="s">
        <v>251</v>
      </c>
      <c r="C12" s="4">
        <v>5.515991120931E12</v>
      </c>
      <c r="D12" s="3" t="s">
        <v>89</v>
      </c>
      <c r="E12" s="5">
        <v>1784.0</v>
      </c>
      <c r="F12" s="6">
        <v>0.25</v>
      </c>
      <c r="G12" s="7">
        <f t="shared" si="1"/>
        <v>1338</v>
      </c>
      <c r="H12" s="3" t="s">
        <v>255</v>
      </c>
      <c r="I12" s="3" t="s">
        <v>115</v>
      </c>
      <c r="J12" s="3" t="s">
        <v>32</v>
      </c>
    </row>
    <row r="13" ht="22.5" customHeight="1">
      <c r="A13" s="2">
        <v>2014018.0</v>
      </c>
      <c r="B13" s="3" t="s">
        <v>256</v>
      </c>
      <c r="C13" s="4">
        <v>5.515996594649E12</v>
      </c>
      <c r="D13" s="3" t="s">
        <v>81</v>
      </c>
      <c r="E13" s="5">
        <v>4690.15</v>
      </c>
      <c r="F13" s="6">
        <v>0.25</v>
      </c>
      <c r="G13" s="7">
        <f t="shared" si="1"/>
        <v>3517.6125</v>
      </c>
      <c r="H13" s="3" t="s">
        <v>41</v>
      </c>
      <c r="I13" s="3" t="s">
        <v>31</v>
      </c>
      <c r="J13" s="3" t="s">
        <v>32</v>
      </c>
    </row>
    <row r="14" ht="22.5" customHeight="1">
      <c r="A14" s="2">
        <v>2014012.0</v>
      </c>
      <c r="B14" s="3" t="s">
        <v>256</v>
      </c>
      <c r="C14" s="4">
        <v>5.515996594649E12</v>
      </c>
      <c r="D14" s="3" t="s">
        <v>81</v>
      </c>
      <c r="E14" s="5">
        <v>1534.24</v>
      </c>
      <c r="F14" s="6">
        <v>0.25</v>
      </c>
      <c r="G14" s="7">
        <f t="shared" si="1"/>
        <v>1150.68</v>
      </c>
      <c r="H14" s="3" t="s">
        <v>91</v>
      </c>
      <c r="I14" s="3" t="s">
        <v>176</v>
      </c>
      <c r="J14" s="3" t="s">
        <v>56</v>
      </c>
      <c r="K14" s="3" t="s">
        <v>108</v>
      </c>
      <c r="L14" s="3" t="s">
        <v>31</v>
      </c>
      <c r="M14" s="3" t="s">
        <v>32</v>
      </c>
      <c r="N14" s="3" t="s">
        <v>222</v>
      </c>
      <c r="O14" s="3" t="s">
        <v>257</v>
      </c>
      <c r="P14" s="3" t="s">
        <v>56</v>
      </c>
    </row>
    <row r="15" ht="22.5" customHeight="1">
      <c r="A15" s="2">
        <v>2013986.0</v>
      </c>
      <c r="B15" s="3" t="s">
        <v>258</v>
      </c>
      <c r="C15" s="4">
        <v>5.515997292173E12</v>
      </c>
      <c r="D15" s="3" t="s">
        <v>81</v>
      </c>
      <c r="E15" s="5">
        <v>4690.15</v>
      </c>
      <c r="F15" s="6">
        <v>0.25</v>
      </c>
      <c r="G15" s="7">
        <f t="shared" si="1"/>
        <v>3517.6125</v>
      </c>
      <c r="H15" s="3" t="s">
        <v>41</v>
      </c>
      <c r="I15" s="3" t="s">
        <v>31</v>
      </c>
      <c r="J15" s="3" t="s">
        <v>32</v>
      </c>
    </row>
    <row r="16" ht="22.5" customHeight="1">
      <c r="A16" s="2">
        <v>2013982.0</v>
      </c>
      <c r="B16" s="3" t="s">
        <v>258</v>
      </c>
      <c r="C16" s="4">
        <v>5.515997292173E12</v>
      </c>
      <c r="D16" s="3" t="s">
        <v>81</v>
      </c>
      <c r="E16" s="5">
        <v>1583.5</v>
      </c>
      <c r="F16" s="6">
        <v>0.25</v>
      </c>
      <c r="G16" s="7">
        <f t="shared" si="1"/>
        <v>1187.625</v>
      </c>
      <c r="H16" s="3" t="s">
        <v>132</v>
      </c>
      <c r="I16" s="3" t="s">
        <v>38</v>
      </c>
      <c r="J16" s="3" t="s">
        <v>32</v>
      </c>
      <c r="K16" s="3" t="s">
        <v>108</v>
      </c>
      <c r="L16" s="3" t="s">
        <v>31</v>
      </c>
      <c r="M16" s="3" t="s">
        <v>32</v>
      </c>
      <c r="N16" s="3" t="s">
        <v>37</v>
      </c>
      <c r="O16" s="3" t="s">
        <v>259</v>
      </c>
      <c r="P16" s="3" t="s">
        <v>56</v>
      </c>
    </row>
    <row r="17" ht="22.5" customHeight="1">
      <c r="A17" s="2">
        <v>2013874.0</v>
      </c>
      <c r="B17" s="3" t="s">
        <v>260</v>
      </c>
      <c r="C17" s="4">
        <v>5.51998984727E12</v>
      </c>
      <c r="D17" s="3" t="s">
        <v>81</v>
      </c>
      <c r="E17" s="5">
        <v>1240.0</v>
      </c>
      <c r="F17" s="6">
        <v>0.25</v>
      </c>
      <c r="G17" s="7">
        <f t="shared" si="1"/>
        <v>930</v>
      </c>
      <c r="H17" s="3" t="s">
        <v>108</v>
      </c>
      <c r="I17" s="3" t="s">
        <v>31</v>
      </c>
      <c r="J17" s="3" t="s">
        <v>32</v>
      </c>
      <c r="K17" s="3" t="s">
        <v>123</v>
      </c>
      <c r="L17" s="3" t="s">
        <v>44</v>
      </c>
      <c r="M17" s="3" t="s">
        <v>32</v>
      </c>
    </row>
    <row r="18" ht="22.5" customHeight="1">
      <c r="A18" s="2">
        <v>2013859.0</v>
      </c>
      <c r="B18" s="3" t="s">
        <v>261</v>
      </c>
      <c r="C18" s="4">
        <v>5.515996622966E12</v>
      </c>
      <c r="D18" s="3" t="s">
        <v>81</v>
      </c>
      <c r="E18" s="5">
        <v>348.07</v>
      </c>
      <c r="F18" s="6">
        <v>0.25</v>
      </c>
      <c r="G18" s="7">
        <f t="shared" si="1"/>
        <v>261.0525</v>
      </c>
      <c r="H18" s="3" t="s">
        <v>62</v>
      </c>
      <c r="I18" s="3" t="s">
        <v>262</v>
      </c>
      <c r="J18" s="3" t="s">
        <v>32</v>
      </c>
      <c r="K18" s="3" t="s">
        <v>37</v>
      </c>
      <c r="L18" s="3" t="s">
        <v>199</v>
      </c>
      <c r="M18" s="3" t="s">
        <v>32</v>
      </c>
    </row>
    <row r="19" ht="22.5" customHeight="1">
      <c r="A19" s="2">
        <v>2013608.0</v>
      </c>
      <c r="B19" s="3" t="s">
        <v>263</v>
      </c>
      <c r="C19" s="4">
        <v>5.515988149893E12</v>
      </c>
      <c r="D19" s="3" t="s">
        <v>173</v>
      </c>
      <c r="E19" s="5">
        <v>150.0</v>
      </c>
      <c r="F19" s="6">
        <v>0.25</v>
      </c>
      <c r="G19" s="7">
        <f t="shared" si="1"/>
        <v>112.5</v>
      </c>
      <c r="H19" s="3" t="s">
        <v>37</v>
      </c>
      <c r="I19" s="3" t="s">
        <v>131</v>
      </c>
      <c r="J19" s="3" t="s">
        <v>32</v>
      </c>
    </row>
    <row r="20" ht="22.5" customHeight="1">
      <c r="A20" s="2">
        <v>2013584.0</v>
      </c>
      <c r="B20" s="3" t="s">
        <v>264</v>
      </c>
      <c r="C20" s="4">
        <v>5.515981162932E12</v>
      </c>
      <c r="D20" s="3" t="s">
        <v>173</v>
      </c>
      <c r="E20" s="5">
        <v>4690.15</v>
      </c>
      <c r="F20" s="6">
        <v>0.25</v>
      </c>
      <c r="G20" s="7">
        <f t="shared" si="1"/>
        <v>3517.6125</v>
      </c>
      <c r="H20" s="3" t="s">
        <v>41</v>
      </c>
      <c r="I20" s="3" t="s">
        <v>31</v>
      </c>
      <c r="J20" s="3" t="s">
        <v>32</v>
      </c>
    </row>
    <row r="21" ht="22.5" customHeight="1">
      <c r="A21" s="2">
        <v>2013342.0</v>
      </c>
      <c r="B21" s="3" t="s">
        <v>265</v>
      </c>
      <c r="C21" s="4">
        <v>5.51193275374E12</v>
      </c>
      <c r="D21" s="3" t="s">
        <v>53</v>
      </c>
      <c r="E21" s="5">
        <v>4690.6</v>
      </c>
      <c r="F21" s="6">
        <v>0.25</v>
      </c>
      <c r="G21" s="7">
        <f t="shared" si="1"/>
        <v>3517.95</v>
      </c>
      <c r="H21" s="3" t="s">
        <v>41</v>
      </c>
      <c r="I21" s="3" t="s">
        <v>31</v>
      </c>
      <c r="J21" s="3" t="s">
        <v>32</v>
      </c>
    </row>
    <row r="22" ht="22.5" customHeight="1">
      <c r="A22" s="2">
        <v>2012959.0</v>
      </c>
      <c r="B22" s="3" t="s">
        <v>266</v>
      </c>
      <c r="C22" s="4">
        <v>5.515997866863E12</v>
      </c>
      <c r="D22" s="3" t="s">
        <v>89</v>
      </c>
      <c r="E22" s="5">
        <v>1716.7</v>
      </c>
      <c r="F22" s="6">
        <v>0.25</v>
      </c>
      <c r="G22" s="7">
        <f t="shared" si="1"/>
        <v>1287.525</v>
      </c>
      <c r="H22" s="3" t="s">
        <v>143</v>
      </c>
      <c r="I22" s="3" t="s">
        <v>50</v>
      </c>
      <c r="J22" s="3" t="s">
        <v>32</v>
      </c>
    </row>
    <row r="23" ht="22.5" customHeight="1">
      <c r="A23" s="2">
        <v>2012642.0</v>
      </c>
      <c r="B23" s="3" t="s">
        <v>267</v>
      </c>
      <c r="C23" s="4">
        <v>5.515981573976E12</v>
      </c>
      <c r="D23" s="3" t="s">
        <v>268</v>
      </c>
      <c r="E23" s="5">
        <v>13701.36</v>
      </c>
      <c r="F23" s="6">
        <v>0.25</v>
      </c>
      <c r="G23" s="7">
        <f t="shared" si="1"/>
        <v>10276.02</v>
      </c>
      <c r="H23" s="3" t="s">
        <v>269</v>
      </c>
      <c r="I23" s="3" t="s">
        <v>270</v>
      </c>
      <c r="J23" s="3" t="s">
        <v>271</v>
      </c>
      <c r="K23" s="3" t="s">
        <v>95</v>
      </c>
      <c r="L23" s="3" t="s">
        <v>44</v>
      </c>
      <c r="M23" s="3" t="s">
        <v>32</v>
      </c>
      <c r="N23" s="3" t="s">
        <v>37</v>
      </c>
      <c r="O23" s="3" t="s">
        <v>272</v>
      </c>
      <c r="P23" s="3" t="s">
        <v>70</v>
      </c>
    </row>
    <row r="24" ht="22.5" customHeight="1">
      <c r="A24" s="2">
        <v>2012637.0</v>
      </c>
      <c r="B24" s="3" t="s">
        <v>267</v>
      </c>
      <c r="C24" s="4">
        <v>5.515981573976E12</v>
      </c>
      <c r="D24" s="3" t="s">
        <v>268</v>
      </c>
      <c r="E24" s="5">
        <v>17699.77</v>
      </c>
      <c r="F24" s="6">
        <v>0.25</v>
      </c>
      <c r="G24" s="7">
        <f t="shared" si="1"/>
        <v>13274.8275</v>
      </c>
      <c r="H24" s="3" t="s">
        <v>82</v>
      </c>
      <c r="I24" s="3" t="s">
        <v>135</v>
      </c>
      <c r="J24" s="3" t="s">
        <v>56</v>
      </c>
      <c r="K24" s="3" t="s">
        <v>269</v>
      </c>
      <c r="L24" s="3" t="s">
        <v>270</v>
      </c>
      <c r="M24" s="3" t="s">
        <v>271</v>
      </c>
      <c r="N24" s="3" t="s">
        <v>95</v>
      </c>
      <c r="O24" s="3" t="s">
        <v>44</v>
      </c>
      <c r="P24" s="3" t="s">
        <v>32</v>
      </c>
      <c r="Q24" s="3" t="s">
        <v>36</v>
      </c>
      <c r="R24" s="3" t="s">
        <v>31</v>
      </c>
      <c r="S24" s="3" t="s">
        <v>32</v>
      </c>
      <c r="T24" s="3" t="s">
        <v>37</v>
      </c>
      <c r="U24" s="3" t="s">
        <v>272</v>
      </c>
      <c r="V24" s="3" t="s">
        <v>70</v>
      </c>
    </row>
    <row r="25" ht="22.5" customHeight="1">
      <c r="A25" s="2">
        <v>2012310.0</v>
      </c>
      <c r="B25" s="3" t="s">
        <v>273</v>
      </c>
      <c r="C25" s="4">
        <v>5.515997780277E12</v>
      </c>
      <c r="D25" s="3" t="s">
        <v>89</v>
      </c>
      <c r="E25" s="5">
        <v>1784.0</v>
      </c>
      <c r="F25" s="6">
        <v>0.25</v>
      </c>
      <c r="G25" s="7">
        <f t="shared" si="1"/>
        <v>1338</v>
      </c>
      <c r="H25" s="3" t="s">
        <v>255</v>
      </c>
      <c r="I25" s="3" t="s">
        <v>225</v>
      </c>
      <c r="J25" s="3" t="s">
        <v>32</v>
      </c>
    </row>
    <row r="26" ht="22.5" customHeight="1">
      <c r="A26" s="2">
        <v>2012253.0</v>
      </c>
      <c r="B26" s="3" t="s">
        <v>265</v>
      </c>
      <c r="C26" s="4">
        <v>5.51193275374E12</v>
      </c>
      <c r="D26" s="3" t="s">
        <v>53</v>
      </c>
      <c r="E26" s="5">
        <v>4090.25</v>
      </c>
      <c r="F26" s="6">
        <v>0.25</v>
      </c>
      <c r="G26" s="7">
        <f t="shared" si="1"/>
        <v>3067.6875</v>
      </c>
      <c r="H26" s="3" t="s">
        <v>41</v>
      </c>
      <c r="I26" s="3" t="s">
        <v>31</v>
      </c>
      <c r="J26" s="3" t="s">
        <v>32</v>
      </c>
    </row>
    <row r="27" ht="22.5" customHeight="1">
      <c r="A27" s="2">
        <v>2012237.0</v>
      </c>
      <c r="B27" s="3" t="s">
        <v>274</v>
      </c>
      <c r="C27" s="4">
        <v>5.515996626284E12</v>
      </c>
      <c r="D27" s="3" t="s">
        <v>58</v>
      </c>
      <c r="E27" s="5">
        <v>387.86</v>
      </c>
      <c r="F27" s="6">
        <v>0.25</v>
      </c>
      <c r="G27" s="7">
        <f t="shared" si="1"/>
        <v>290.895</v>
      </c>
      <c r="H27" s="3" t="s">
        <v>108</v>
      </c>
      <c r="I27" s="3" t="s">
        <v>31</v>
      </c>
      <c r="J27" s="3" t="s">
        <v>32</v>
      </c>
      <c r="K27" s="3" t="s">
        <v>36</v>
      </c>
      <c r="L27" s="3" t="s">
        <v>31</v>
      </c>
      <c r="M27" s="3" t="s">
        <v>32</v>
      </c>
    </row>
    <row r="28" ht="22.5" customHeight="1">
      <c r="A28" s="2">
        <v>2012112.0</v>
      </c>
      <c r="B28" s="3" t="s">
        <v>275</v>
      </c>
      <c r="C28" s="4">
        <v>5.51598813668E12</v>
      </c>
      <c r="D28" s="3" t="s">
        <v>53</v>
      </c>
      <c r="E28" s="5">
        <v>29138.17</v>
      </c>
      <c r="F28" s="6">
        <v>0.25</v>
      </c>
      <c r="G28" s="7">
        <f t="shared" si="1"/>
        <v>21853.6275</v>
      </c>
      <c r="H28" s="3" t="s">
        <v>35</v>
      </c>
      <c r="I28" s="3" t="s">
        <v>276</v>
      </c>
      <c r="J28" s="3" t="s">
        <v>271</v>
      </c>
      <c r="K28" s="3" t="s">
        <v>277</v>
      </c>
      <c r="L28" s="3" t="s">
        <v>135</v>
      </c>
      <c r="M28" s="3" t="s">
        <v>56</v>
      </c>
    </row>
    <row r="29" ht="22.5" customHeight="1">
      <c r="A29" s="2">
        <v>2012110.0</v>
      </c>
      <c r="B29" s="3" t="s">
        <v>275</v>
      </c>
      <c r="C29" s="4">
        <v>5.51598813668E12</v>
      </c>
      <c r="D29" s="3" t="s">
        <v>53</v>
      </c>
      <c r="E29" s="5">
        <v>1902.88</v>
      </c>
      <c r="F29" s="6">
        <v>0.25</v>
      </c>
      <c r="G29" s="7">
        <f t="shared" si="1"/>
        <v>1427.16</v>
      </c>
      <c r="H29" s="3" t="s">
        <v>123</v>
      </c>
      <c r="I29" s="3" t="s">
        <v>135</v>
      </c>
      <c r="J29" s="3" t="s">
        <v>56</v>
      </c>
    </row>
    <row r="30" ht="22.5" customHeight="1">
      <c r="A30" s="2">
        <v>2012106.0</v>
      </c>
      <c r="B30" s="3" t="s">
        <v>275</v>
      </c>
      <c r="C30" s="4">
        <v>5.51598813668E12</v>
      </c>
      <c r="D30" s="3" t="s">
        <v>53</v>
      </c>
      <c r="E30" s="5">
        <v>4685.88</v>
      </c>
      <c r="F30" s="6">
        <v>0.25</v>
      </c>
      <c r="G30" s="7">
        <f t="shared" si="1"/>
        <v>3514.41</v>
      </c>
      <c r="H30" s="3" t="s">
        <v>91</v>
      </c>
      <c r="I30" s="3" t="s">
        <v>278</v>
      </c>
      <c r="J30" s="3" t="s">
        <v>186</v>
      </c>
      <c r="K30" s="3" t="s">
        <v>62</v>
      </c>
      <c r="L30" s="3" t="s">
        <v>279</v>
      </c>
      <c r="M30" s="3" t="s">
        <v>186</v>
      </c>
      <c r="N30" s="3" t="s">
        <v>123</v>
      </c>
      <c r="O30" s="3" t="s">
        <v>135</v>
      </c>
      <c r="P30" s="3" t="s">
        <v>56</v>
      </c>
    </row>
    <row r="31" ht="22.5" customHeight="1">
      <c r="A31" s="2">
        <v>2012085.0</v>
      </c>
      <c r="B31" s="3" t="s">
        <v>280</v>
      </c>
      <c r="C31" s="4">
        <v>5.515981471505E12</v>
      </c>
      <c r="D31" s="3" t="s">
        <v>53</v>
      </c>
      <c r="E31" s="5">
        <v>746.75</v>
      </c>
      <c r="F31" s="6">
        <v>0.25</v>
      </c>
      <c r="G31" s="7">
        <f t="shared" si="1"/>
        <v>560.0625</v>
      </c>
      <c r="H31" s="3" t="s">
        <v>82</v>
      </c>
      <c r="I31" s="3" t="s">
        <v>135</v>
      </c>
      <c r="J31" s="3" t="s">
        <v>56</v>
      </c>
      <c r="K31" s="3" t="s">
        <v>108</v>
      </c>
      <c r="L31" s="3" t="s">
        <v>31</v>
      </c>
      <c r="M31" s="3" t="s">
        <v>32</v>
      </c>
      <c r="N31" s="3" t="s">
        <v>37</v>
      </c>
      <c r="O31" s="3" t="s">
        <v>281</v>
      </c>
      <c r="P31" s="3" t="s">
        <v>32</v>
      </c>
    </row>
    <row r="32" ht="22.5" customHeight="1">
      <c r="A32" s="2">
        <v>2012083.0</v>
      </c>
      <c r="B32" s="3" t="s">
        <v>282</v>
      </c>
      <c r="C32" s="4">
        <v>5.515981471505E12</v>
      </c>
      <c r="D32" s="3" t="s">
        <v>53</v>
      </c>
      <c r="E32" s="5">
        <v>938.63</v>
      </c>
      <c r="F32" s="6">
        <v>0.25</v>
      </c>
      <c r="G32" s="7">
        <f t="shared" si="1"/>
        <v>703.9725</v>
      </c>
      <c r="H32" s="3" t="s">
        <v>82</v>
      </c>
      <c r="I32" s="3" t="s">
        <v>135</v>
      </c>
      <c r="J32" s="3" t="s">
        <v>56</v>
      </c>
      <c r="K32" s="3" t="s">
        <v>36</v>
      </c>
      <c r="L32" s="3" t="s">
        <v>31</v>
      </c>
      <c r="M32" s="3" t="s">
        <v>32</v>
      </c>
      <c r="N32" s="3" t="s">
        <v>37</v>
      </c>
      <c r="O32" s="3" t="s">
        <v>283</v>
      </c>
      <c r="P32" s="3" t="s">
        <v>61</v>
      </c>
    </row>
    <row r="33" ht="22.5" customHeight="1">
      <c r="A33" s="2">
        <v>2012031.0</v>
      </c>
      <c r="B33" s="3" t="s">
        <v>284</v>
      </c>
      <c r="C33" s="4">
        <v>5.515981477106E12</v>
      </c>
      <c r="D33" s="3" t="s">
        <v>53</v>
      </c>
      <c r="E33" s="5">
        <v>11893.13</v>
      </c>
      <c r="F33" s="6">
        <v>0.25</v>
      </c>
      <c r="G33" s="7">
        <f t="shared" si="1"/>
        <v>8919.8475</v>
      </c>
      <c r="H33" s="3" t="s">
        <v>33</v>
      </c>
      <c r="I33" s="3" t="s">
        <v>185</v>
      </c>
      <c r="J33" s="3" t="s">
        <v>186</v>
      </c>
      <c r="K33" s="3" t="s">
        <v>35</v>
      </c>
      <c r="L33" s="3" t="s">
        <v>285</v>
      </c>
      <c r="M33" s="3" t="s">
        <v>56</v>
      </c>
    </row>
    <row r="34" ht="22.5" customHeight="1">
      <c r="A34" s="2">
        <v>2011660.0</v>
      </c>
      <c r="B34" s="3" t="s">
        <v>286</v>
      </c>
      <c r="C34" s="4">
        <v>5.515991021144E12</v>
      </c>
      <c r="D34" s="3" t="s">
        <v>53</v>
      </c>
      <c r="E34" s="5">
        <v>4690.6</v>
      </c>
      <c r="F34" s="6">
        <v>0.25</v>
      </c>
      <c r="G34" s="7">
        <f t="shared" si="1"/>
        <v>3517.95</v>
      </c>
      <c r="H34" s="3" t="s">
        <v>41</v>
      </c>
      <c r="I34" s="3" t="s">
        <v>31</v>
      </c>
      <c r="J34" s="3" t="s">
        <v>32</v>
      </c>
    </row>
    <row r="35" ht="22.5" customHeight="1">
      <c r="A35" s="2">
        <v>2011082.0</v>
      </c>
      <c r="B35" s="3" t="s">
        <v>287</v>
      </c>
      <c r="C35" s="4">
        <v>5.515997491388E12</v>
      </c>
      <c r="D35" s="3" t="s">
        <v>193</v>
      </c>
      <c r="E35" s="5">
        <v>17887.27</v>
      </c>
      <c r="F35" s="6">
        <v>0.25</v>
      </c>
      <c r="G35" s="7">
        <f t="shared" si="1"/>
        <v>13415.4525</v>
      </c>
      <c r="H35" s="3" t="s">
        <v>150</v>
      </c>
      <c r="I35" s="3" t="s">
        <v>31</v>
      </c>
      <c r="J35" s="3" t="s">
        <v>32</v>
      </c>
      <c r="K35" s="3" t="s">
        <v>91</v>
      </c>
      <c r="L35" s="3" t="s">
        <v>288</v>
      </c>
      <c r="M35" s="3" t="s">
        <v>197</v>
      </c>
      <c r="N35" s="3" t="s">
        <v>35</v>
      </c>
      <c r="O35" s="3" t="s">
        <v>289</v>
      </c>
      <c r="P35" s="3" t="s">
        <v>186</v>
      </c>
      <c r="Q35" s="3" t="s">
        <v>277</v>
      </c>
      <c r="R35" s="3" t="s">
        <v>44</v>
      </c>
      <c r="S35" s="3" t="s">
        <v>32</v>
      </c>
    </row>
    <row r="36" ht="22.5" customHeight="1">
      <c r="A36" s="2">
        <v>2010955.0</v>
      </c>
      <c r="B36" s="3" t="s">
        <v>290</v>
      </c>
      <c r="C36" s="4">
        <v>5.51599733653E12</v>
      </c>
      <c r="D36" s="3" t="s">
        <v>81</v>
      </c>
      <c r="E36" s="5">
        <v>1121.63</v>
      </c>
      <c r="F36" s="6">
        <v>0.25</v>
      </c>
      <c r="G36" s="7">
        <f t="shared" si="1"/>
        <v>841.2225</v>
      </c>
      <c r="H36" s="3" t="s">
        <v>37</v>
      </c>
      <c r="I36" s="3" t="s">
        <v>291</v>
      </c>
      <c r="J36" s="3" t="s">
        <v>32</v>
      </c>
      <c r="K36" s="3" t="s">
        <v>118</v>
      </c>
      <c r="L36" s="3" t="s">
        <v>291</v>
      </c>
      <c r="M36" s="3" t="s">
        <v>32</v>
      </c>
    </row>
    <row r="37" ht="22.5" customHeight="1">
      <c r="A37" s="2">
        <v>2010919.0</v>
      </c>
      <c r="B37" s="3" t="s">
        <v>292</v>
      </c>
      <c r="C37" s="4">
        <v>5.515988241538E12</v>
      </c>
      <c r="D37" s="3" t="s">
        <v>184</v>
      </c>
      <c r="E37" s="5">
        <v>150.0</v>
      </c>
      <c r="F37" s="6">
        <v>0.25</v>
      </c>
      <c r="G37" s="7">
        <f t="shared" si="1"/>
        <v>112.5</v>
      </c>
      <c r="H37" s="3" t="s">
        <v>37</v>
      </c>
      <c r="I37" s="3" t="s">
        <v>115</v>
      </c>
      <c r="J37" s="3" t="s">
        <v>32</v>
      </c>
    </row>
    <row r="38" ht="22.5" customHeight="1">
      <c r="A38" s="2">
        <v>2010856.0</v>
      </c>
      <c r="B38" s="3" t="s">
        <v>293</v>
      </c>
      <c r="C38" s="4">
        <v>5.515981624052E12</v>
      </c>
      <c r="D38" s="3" t="s">
        <v>184</v>
      </c>
      <c r="E38" s="5">
        <v>1113.38</v>
      </c>
      <c r="F38" s="6">
        <v>0.25</v>
      </c>
      <c r="G38" s="7">
        <f t="shared" si="1"/>
        <v>835.035</v>
      </c>
      <c r="H38" s="3" t="s">
        <v>212</v>
      </c>
      <c r="I38" s="3" t="s">
        <v>139</v>
      </c>
      <c r="J38" s="3" t="s">
        <v>32</v>
      </c>
      <c r="K38" s="3" t="s">
        <v>37</v>
      </c>
      <c r="L38" s="3" t="s">
        <v>294</v>
      </c>
      <c r="M38" s="3" t="s">
        <v>56</v>
      </c>
    </row>
    <row r="39" ht="22.5" customHeight="1">
      <c r="A39" s="2">
        <v>2010672.0</v>
      </c>
      <c r="B39" s="3" t="s">
        <v>295</v>
      </c>
      <c r="C39" s="4">
        <v>5.515998264658E12</v>
      </c>
      <c r="D39" s="3" t="s">
        <v>296</v>
      </c>
      <c r="E39" s="5">
        <v>649.93</v>
      </c>
      <c r="F39" s="6">
        <v>0.25</v>
      </c>
      <c r="G39" s="7">
        <f t="shared" si="1"/>
        <v>487.4475</v>
      </c>
      <c r="H39" s="3" t="s">
        <v>108</v>
      </c>
      <c r="I39" s="3" t="s">
        <v>31</v>
      </c>
      <c r="J39" s="3" t="s">
        <v>56</v>
      </c>
      <c r="K39" s="3" t="s">
        <v>36</v>
      </c>
      <c r="L39" s="3" t="s">
        <v>31</v>
      </c>
      <c r="M39" s="3" t="s">
        <v>32</v>
      </c>
    </row>
    <row r="40" ht="22.5" customHeight="1">
      <c r="A40" s="2">
        <v>2010641.0</v>
      </c>
      <c r="B40" s="3" t="s">
        <v>297</v>
      </c>
      <c r="C40" s="4">
        <v>5.515981412716E12</v>
      </c>
      <c r="D40" s="3" t="s">
        <v>296</v>
      </c>
      <c r="E40" s="5">
        <v>3337.38</v>
      </c>
      <c r="F40" s="6">
        <v>0.25</v>
      </c>
      <c r="G40" s="7">
        <f t="shared" si="1"/>
        <v>2503.035</v>
      </c>
      <c r="H40" s="3" t="s">
        <v>130</v>
      </c>
      <c r="I40" s="3" t="s">
        <v>92</v>
      </c>
      <c r="J40" s="3" t="s">
        <v>32</v>
      </c>
      <c r="K40" s="3" t="s">
        <v>59</v>
      </c>
      <c r="L40" s="3" t="s">
        <v>298</v>
      </c>
      <c r="M40" s="3" t="s">
        <v>56</v>
      </c>
      <c r="N40" s="3" t="s">
        <v>133</v>
      </c>
      <c r="O40" s="3" t="s">
        <v>92</v>
      </c>
      <c r="P40" s="3" t="s">
        <v>32</v>
      </c>
      <c r="Q40" s="3" t="s">
        <v>108</v>
      </c>
      <c r="R40" s="3" t="s">
        <v>31</v>
      </c>
      <c r="S40" s="3" t="s">
        <v>32</v>
      </c>
      <c r="T40" s="3" t="s">
        <v>36</v>
      </c>
      <c r="U40" s="3" t="s">
        <v>31</v>
      </c>
      <c r="V40" s="3" t="s">
        <v>32</v>
      </c>
      <c r="W40" s="3" t="s">
        <v>37</v>
      </c>
      <c r="X40" s="3" t="s">
        <v>299</v>
      </c>
      <c r="Y40" s="3" t="s">
        <v>56</v>
      </c>
    </row>
    <row r="41" ht="22.5" customHeight="1">
      <c r="A41" s="2">
        <v>2010583.0</v>
      </c>
      <c r="B41" s="3" t="s">
        <v>300</v>
      </c>
      <c r="C41" s="4">
        <v>5.546999168184E12</v>
      </c>
      <c r="D41" s="3" t="s">
        <v>40</v>
      </c>
      <c r="E41" s="5">
        <v>7338.1</v>
      </c>
      <c r="F41" s="6">
        <v>0.25</v>
      </c>
      <c r="G41" s="7">
        <f t="shared" si="1"/>
        <v>5503.575</v>
      </c>
      <c r="H41" s="3" t="s">
        <v>301</v>
      </c>
      <c r="I41" s="3" t="s">
        <v>31</v>
      </c>
      <c r="J41" s="3" t="s">
        <v>32</v>
      </c>
    </row>
    <row r="42" ht="22.5" customHeight="1">
      <c r="A42" s="2">
        <v>2009991.0</v>
      </c>
      <c r="B42" s="3" t="s">
        <v>302</v>
      </c>
      <c r="C42" s="4">
        <v>5.515996219283E12</v>
      </c>
      <c r="D42" s="3" t="s">
        <v>81</v>
      </c>
      <c r="E42" s="5">
        <v>331.0</v>
      </c>
      <c r="F42" s="6">
        <v>0.25</v>
      </c>
      <c r="G42" s="7">
        <f t="shared" si="1"/>
        <v>248.25</v>
      </c>
      <c r="H42" s="3" t="s">
        <v>222</v>
      </c>
      <c r="I42" s="3" t="s">
        <v>34</v>
      </c>
      <c r="J42" s="3" t="s">
        <v>32</v>
      </c>
    </row>
    <row r="43" ht="22.5" customHeight="1">
      <c r="A43" s="2">
        <v>2009806.0</v>
      </c>
      <c r="B43" s="3" t="s">
        <v>303</v>
      </c>
      <c r="C43" s="4">
        <v>5.51599678079E12</v>
      </c>
      <c r="D43" s="3" t="s">
        <v>81</v>
      </c>
      <c r="E43" s="5">
        <v>330.21</v>
      </c>
      <c r="F43" s="6">
        <v>0.25</v>
      </c>
      <c r="G43" s="7">
        <f t="shared" si="1"/>
        <v>247.6575</v>
      </c>
      <c r="H43" s="3" t="s">
        <v>109</v>
      </c>
      <c r="I43" s="3" t="s">
        <v>199</v>
      </c>
      <c r="J43" s="3" t="s">
        <v>32</v>
      </c>
    </row>
    <row r="44" ht="22.5" customHeight="1">
      <c r="A44" s="2">
        <v>2009205.0</v>
      </c>
      <c r="B44" s="3" t="s">
        <v>304</v>
      </c>
      <c r="C44" s="4">
        <v>5.515996943503E12</v>
      </c>
      <c r="D44" s="3" t="s">
        <v>29</v>
      </c>
      <c r="E44" s="5">
        <v>2973.26</v>
      </c>
      <c r="F44" s="6">
        <v>0.25</v>
      </c>
      <c r="G44" s="7">
        <f t="shared" si="1"/>
        <v>2229.945</v>
      </c>
      <c r="H44" s="3" t="s">
        <v>33</v>
      </c>
      <c r="I44" s="3" t="s">
        <v>225</v>
      </c>
      <c r="J44" s="3" t="s">
        <v>32</v>
      </c>
      <c r="K44" s="3" t="s">
        <v>35</v>
      </c>
      <c r="L44" s="3" t="s">
        <v>225</v>
      </c>
      <c r="M44" s="3" t="s">
        <v>32</v>
      </c>
    </row>
    <row r="45" ht="22.5" customHeight="1">
      <c r="A45" s="2">
        <v>2008974.0</v>
      </c>
      <c r="B45" s="3" t="s">
        <v>305</v>
      </c>
      <c r="C45" s="4">
        <v>5.515981456779E12</v>
      </c>
      <c r="D45" s="3" t="s">
        <v>173</v>
      </c>
      <c r="E45" s="5">
        <v>4854.96</v>
      </c>
      <c r="F45" s="6">
        <v>0.25</v>
      </c>
      <c r="G45" s="7">
        <f t="shared" si="1"/>
        <v>3641.22</v>
      </c>
      <c r="H45" s="3" t="s">
        <v>128</v>
      </c>
      <c r="I45" s="3" t="s">
        <v>31</v>
      </c>
      <c r="J45" s="3" t="s">
        <v>32</v>
      </c>
    </row>
    <row r="46" ht="22.5" customHeight="1">
      <c r="A46" s="2">
        <v>2008046.0</v>
      </c>
      <c r="B46" s="3" t="s">
        <v>306</v>
      </c>
      <c r="C46" s="4">
        <v>5.51599285707E12</v>
      </c>
      <c r="D46" s="3" t="s">
        <v>40</v>
      </c>
      <c r="E46" s="5">
        <v>1467.6</v>
      </c>
      <c r="F46" s="6">
        <v>0.25</v>
      </c>
      <c r="G46" s="7">
        <f t="shared" si="1"/>
        <v>1100.7</v>
      </c>
      <c r="H46" s="3" t="s">
        <v>59</v>
      </c>
      <c r="I46" s="3" t="s">
        <v>307</v>
      </c>
      <c r="J46" s="3" t="s">
        <v>70</v>
      </c>
    </row>
    <row r="47" ht="22.5" customHeight="1">
      <c r="A47" s="2">
        <v>2008037.0</v>
      </c>
      <c r="B47" s="3" t="s">
        <v>306</v>
      </c>
      <c r="C47" s="4">
        <v>5.51599285707E12</v>
      </c>
      <c r="D47" s="3" t="s">
        <v>40</v>
      </c>
      <c r="E47" s="5">
        <v>4690.6</v>
      </c>
      <c r="F47" s="6">
        <v>0.25</v>
      </c>
      <c r="G47" s="7">
        <f t="shared" si="1"/>
        <v>3517.95</v>
      </c>
      <c r="H47" s="3" t="s">
        <v>41</v>
      </c>
      <c r="I47" s="3" t="s">
        <v>31</v>
      </c>
      <c r="J47" s="3" t="s">
        <v>32</v>
      </c>
    </row>
    <row r="48" ht="22.5" customHeight="1">
      <c r="A48" s="2">
        <v>2008035.0</v>
      </c>
      <c r="B48" s="3" t="s">
        <v>306</v>
      </c>
      <c r="C48" s="4">
        <v>5.51599285707E12</v>
      </c>
      <c r="D48" s="3" t="s">
        <v>40</v>
      </c>
      <c r="E48" s="5">
        <v>4854.96</v>
      </c>
      <c r="F48" s="6">
        <v>0.25</v>
      </c>
      <c r="G48" s="7">
        <f t="shared" si="1"/>
        <v>3641.22</v>
      </c>
      <c r="H48" s="3" t="s">
        <v>128</v>
      </c>
      <c r="I48" s="3" t="s">
        <v>31</v>
      </c>
      <c r="J48" s="3" t="s">
        <v>32</v>
      </c>
    </row>
    <row r="49" ht="22.5" customHeight="1">
      <c r="A49" s="2">
        <v>2008031.0</v>
      </c>
      <c r="B49" s="3" t="s">
        <v>306</v>
      </c>
      <c r="C49" s="4">
        <v>5.51599285707E12</v>
      </c>
      <c r="D49" s="3" t="s">
        <v>40</v>
      </c>
      <c r="E49" s="5">
        <v>2889.13</v>
      </c>
      <c r="F49" s="6">
        <v>0.25</v>
      </c>
      <c r="G49" s="7">
        <f t="shared" si="1"/>
        <v>2166.8475</v>
      </c>
      <c r="H49" s="3" t="s">
        <v>66</v>
      </c>
      <c r="I49" s="3" t="s">
        <v>31</v>
      </c>
      <c r="J49" s="3" t="s">
        <v>32</v>
      </c>
      <c r="K49" s="3" t="s">
        <v>59</v>
      </c>
      <c r="L49" s="3" t="s">
        <v>307</v>
      </c>
      <c r="M49" s="3" t="s">
        <v>70</v>
      </c>
      <c r="N49" s="3" t="s">
        <v>37</v>
      </c>
      <c r="O49" s="3" t="s">
        <v>308</v>
      </c>
      <c r="P49" s="3" t="s">
        <v>61</v>
      </c>
    </row>
    <row r="50" ht="22.5" customHeight="1">
      <c r="A50" s="2">
        <v>2007541.0</v>
      </c>
      <c r="B50" s="3" t="s">
        <v>309</v>
      </c>
      <c r="C50" s="4">
        <v>5.515981407982E12</v>
      </c>
      <c r="D50" s="3" t="s">
        <v>155</v>
      </c>
      <c r="E50" s="5">
        <v>2358.67</v>
      </c>
      <c r="F50" s="6">
        <v>0.25</v>
      </c>
      <c r="G50" s="7">
        <f t="shared" si="1"/>
        <v>1769.0025</v>
      </c>
      <c r="H50" s="3" t="s">
        <v>130</v>
      </c>
      <c r="I50" s="3" t="s">
        <v>92</v>
      </c>
      <c r="J50" s="3" t="s">
        <v>32</v>
      </c>
      <c r="K50" s="3" t="s">
        <v>132</v>
      </c>
      <c r="L50" s="3" t="s">
        <v>92</v>
      </c>
      <c r="M50" s="3" t="s">
        <v>32</v>
      </c>
      <c r="N50" s="3" t="s">
        <v>133</v>
      </c>
      <c r="O50" s="3" t="s">
        <v>92</v>
      </c>
      <c r="P50" s="3" t="s">
        <v>32</v>
      </c>
    </row>
    <row r="51" ht="22.5" customHeight="1">
      <c r="A51" s="2">
        <v>2007508.0</v>
      </c>
      <c r="B51" s="3" t="s">
        <v>310</v>
      </c>
      <c r="C51" s="4">
        <v>5.515996331711E12</v>
      </c>
      <c r="D51" s="3" t="s">
        <v>155</v>
      </c>
      <c r="E51" s="5">
        <v>1121.63</v>
      </c>
      <c r="F51" s="6">
        <v>0.25</v>
      </c>
      <c r="G51" s="7">
        <f t="shared" si="1"/>
        <v>841.2225</v>
      </c>
      <c r="H51" s="3" t="s">
        <v>132</v>
      </c>
      <c r="I51" s="3" t="s">
        <v>131</v>
      </c>
      <c r="J51" s="3" t="s">
        <v>32</v>
      </c>
      <c r="K51" s="3" t="s">
        <v>37</v>
      </c>
      <c r="L51" s="3" t="s">
        <v>131</v>
      </c>
      <c r="M51" s="3" t="s">
        <v>32</v>
      </c>
    </row>
    <row r="52" ht="22.5" customHeight="1">
      <c r="A52" s="2">
        <v>2006374.0</v>
      </c>
      <c r="B52" s="3" t="s">
        <v>311</v>
      </c>
      <c r="C52" s="4">
        <v>5.515981438095E12</v>
      </c>
      <c r="D52" s="3" t="s">
        <v>296</v>
      </c>
      <c r="E52" s="5">
        <v>1724.5</v>
      </c>
      <c r="F52" s="6">
        <v>0.25</v>
      </c>
      <c r="G52" s="7">
        <f t="shared" si="1"/>
        <v>1293.375</v>
      </c>
      <c r="H52" s="3" t="s">
        <v>130</v>
      </c>
      <c r="I52" s="3" t="s">
        <v>38</v>
      </c>
      <c r="J52" s="3" t="s">
        <v>32</v>
      </c>
      <c r="K52" s="3" t="s">
        <v>133</v>
      </c>
      <c r="L52" s="3" t="s">
        <v>38</v>
      </c>
      <c r="M52" s="3" t="s">
        <v>32</v>
      </c>
    </row>
    <row r="53" ht="22.5" customHeight="1">
      <c r="A53" s="2">
        <v>2006070.0</v>
      </c>
      <c r="B53" s="3" t="s">
        <v>312</v>
      </c>
      <c r="C53" s="4">
        <v>5.511964592238E12</v>
      </c>
      <c r="D53" s="3" t="s">
        <v>296</v>
      </c>
      <c r="E53" s="5">
        <v>754.76</v>
      </c>
      <c r="F53" s="6">
        <v>0.25</v>
      </c>
      <c r="G53" s="7">
        <f t="shared" si="1"/>
        <v>566.07</v>
      </c>
      <c r="H53" s="3" t="s">
        <v>59</v>
      </c>
      <c r="I53" s="3" t="s">
        <v>313</v>
      </c>
      <c r="J53" s="3" t="s">
        <v>32</v>
      </c>
      <c r="K53" s="3" t="s">
        <v>108</v>
      </c>
      <c r="L53" s="3" t="s">
        <v>31</v>
      </c>
      <c r="M53" s="3" t="s">
        <v>32</v>
      </c>
      <c r="N53" s="3" t="s">
        <v>36</v>
      </c>
      <c r="O53" s="3" t="s">
        <v>31</v>
      </c>
      <c r="P53" s="3" t="s">
        <v>32</v>
      </c>
    </row>
    <row r="54" ht="22.5" customHeight="1">
      <c r="A54" s="22">
        <v>2006019.0</v>
      </c>
      <c r="B54" s="23" t="s">
        <v>314</v>
      </c>
      <c r="C54" s="24">
        <v>5.515997135544E12</v>
      </c>
      <c r="D54" s="23" t="s">
        <v>68</v>
      </c>
      <c r="E54" s="25">
        <v>6186.24</v>
      </c>
      <c r="F54" s="26">
        <v>0.25</v>
      </c>
      <c r="G54" s="27">
        <f t="shared" si="1"/>
        <v>4639.68</v>
      </c>
      <c r="H54" s="23" t="s">
        <v>108</v>
      </c>
      <c r="I54" s="23" t="s">
        <v>31</v>
      </c>
      <c r="J54" s="23" t="s">
        <v>32</v>
      </c>
      <c r="K54" s="23" t="s">
        <v>36</v>
      </c>
      <c r="L54" s="23" t="s">
        <v>31</v>
      </c>
      <c r="M54" s="23" t="s">
        <v>32</v>
      </c>
      <c r="N54" s="23" t="s">
        <v>37</v>
      </c>
      <c r="O54" s="23" t="s">
        <v>315</v>
      </c>
      <c r="P54" s="23" t="s">
        <v>170</v>
      </c>
      <c r="Q54" s="23" t="s">
        <v>128</v>
      </c>
      <c r="R54" s="23" t="s">
        <v>31</v>
      </c>
      <c r="S54" s="23" t="s">
        <v>32</v>
      </c>
      <c r="T54" s="23"/>
      <c r="U54" s="23"/>
      <c r="V54" s="23"/>
      <c r="W54" s="23"/>
      <c r="X54" s="23"/>
      <c r="Y54" s="23"/>
      <c r="Z54" s="23"/>
    </row>
    <row r="55" ht="22.5" customHeight="1">
      <c r="A55" s="2">
        <v>2005910.0</v>
      </c>
      <c r="B55" s="3" t="s">
        <v>316</v>
      </c>
      <c r="C55" s="4">
        <v>5.515991485157E12</v>
      </c>
      <c r="D55" s="3" t="s">
        <v>184</v>
      </c>
      <c r="E55" s="5">
        <v>1520.03</v>
      </c>
      <c r="F55" s="6">
        <v>0.25</v>
      </c>
      <c r="G55" s="7">
        <f t="shared" si="1"/>
        <v>1140.0225</v>
      </c>
      <c r="H55" s="3" t="s">
        <v>143</v>
      </c>
      <c r="I55" s="3" t="s">
        <v>44</v>
      </c>
      <c r="J55" s="3" t="s">
        <v>32</v>
      </c>
    </row>
    <row r="56" ht="22.5" customHeight="1">
      <c r="A56" s="2">
        <v>2005776.0</v>
      </c>
      <c r="B56" s="3" t="s">
        <v>317</v>
      </c>
      <c r="C56" s="4">
        <v>5.515998233868E12</v>
      </c>
      <c r="D56" s="3" t="s">
        <v>296</v>
      </c>
      <c r="E56" s="5">
        <v>4854.96</v>
      </c>
      <c r="F56" s="6">
        <v>0.25</v>
      </c>
      <c r="G56" s="7">
        <f t="shared" si="1"/>
        <v>3641.22</v>
      </c>
      <c r="H56" s="3" t="s">
        <v>128</v>
      </c>
      <c r="I56" s="3" t="s">
        <v>31</v>
      </c>
      <c r="J56" s="3" t="s">
        <v>32</v>
      </c>
    </row>
    <row r="57" ht="22.5" customHeight="1">
      <c r="A57" s="2">
        <v>2005774.0</v>
      </c>
      <c r="B57" s="3" t="s">
        <v>317</v>
      </c>
      <c r="C57" s="4">
        <v>5.515998233868E12</v>
      </c>
      <c r="D57" s="3" t="s">
        <v>296</v>
      </c>
      <c r="E57" s="5">
        <v>561.01</v>
      </c>
      <c r="F57" s="6">
        <v>0.25</v>
      </c>
      <c r="G57" s="7">
        <f t="shared" si="1"/>
        <v>420.7575</v>
      </c>
      <c r="H57" s="3" t="s">
        <v>82</v>
      </c>
      <c r="I57" s="3" t="s">
        <v>44</v>
      </c>
      <c r="J57" s="3" t="s">
        <v>32</v>
      </c>
      <c r="K57" s="3" t="s">
        <v>108</v>
      </c>
      <c r="L57" s="3" t="s">
        <v>31</v>
      </c>
      <c r="M57" s="3" t="s">
        <v>32</v>
      </c>
      <c r="N57" s="3" t="s">
        <v>36</v>
      </c>
      <c r="O57" s="3" t="s">
        <v>31</v>
      </c>
      <c r="P57" s="3" t="s">
        <v>32</v>
      </c>
    </row>
    <row r="58" ht="22.5" customHeight="1">
      <c r="A58" s="2">
        <v>2005771.0</v>
      </c>
      <c r="B58" s="3" t="s">
        <v>317</v>
      </c>
      <c r="C58" s="4">
        <v>5.515998233868E12</v>
      </c>
      <c r="D58" s="3" t="s">
        <v>296</v>
      </c>
      <c r="E58" s="5">
        <v>4690.15</v>
      </c>
      <c r="F58" s="6">
        <v>0.25</v>
      </c>
      <c r="G58" s="7">
        <f t="shared" si="1"/>
        <v>3517.6125</v>
      </c>
      <c r="H58" s="3" t="s">
        <v>41</v>
      </c>
      <c r="I58" s="3" t="s">
        <v>31</v>
      </c>
      <c r="J58" s="3" t="s">
        <v>32</v>
      </c>
    </row>
    <row r="59" ht="22.5" customHeight="1">
      <c r="A59" s="2">
        <v>2005648.0</v>
      </c>
      <c r="B59" s="3" t="s">
        <v>318</v>
      </c>
      <c r="C59" s="4">
        <v>5.515981646007E12</v>
      </c>
      <c r="D59" s="3" t="s">
        <v>173</v>
      </c>
      <c r="E59" s="5">
        <v>2783.0</v>
      </c>
      <c r="F59" s="6">
        <v>0.25</v>
      </c>
      <c r="G59" s="7">
        <f t="shared" si="1"/>
        <v>2087.25</v>
      </c>
      <c r="H59" s="3" t="s">
        <v>62</v>
      </c>
      <c r="I59" s="3" t="s">
        <v>319</v>
      </c>
      <c r="J59" s="3" t="s">
        <v>56</v>
      </c>
      <c r="K59" s="3" t="s">
        <v>48</v>
      </c>
      <c r="L59" s="3" t="s">
        <v>44</v>
      </c>
      <c r="M59" s="3" t="s">
        <v>32</v>
      </c>
    </row>
    <row r="60" ht="22.5" customHeight="1">
      <c r="A60" s="2">
        <v>2004961.0</v>
      </c>
      <c r="B60" s="3" t="s">
        <v>320</v>
      </c>
      <c r="C60" s="4">
        <v>5.515996111558E12</v>
      </c>
      <c r="D60" s="3" t="s">
        <v>89</v>
      </c>
      <c r="E60" s="5">
        <v>1669.42</v>
      </c>
      <c r="F60" s="6">
        <v>0.25</v>
      </c>
      <c r="G60" s="7">
        <f t="shared" si="1"/>
        <v>1252.065</v>
      </c>
    </row>
    <row r="61" ht="22.5" customHeight="1">
      <c r="A61" s="2">
        <v>2004412.0</v>
      </c>
      <c r="B61" s="3" t="s">
        <v>321</v>
      </c>
      <c r="C61" s="4">
        <v>5.515988072766E12</v>
      </c>
      <c r="D61" s="3" t="s">
        <v>101</v>
      </c>
      <c r="E61" s="5">
        <v>29138.17</v>
      </c>
      <c r="F61" s="6">
        <v>0.25</v>
      </c>
      <c r="G61" s="7">
        <f t="shared" si="1"/>
        <v>21853.6275</v>
      </c>
      <c r="H61" s="3" t="s">
        <v>35</v>
      </c>
      <c r="I61" s="3" t="s">
        <v>322</v>
      </c>
      <c r="J61" s="3" t="s">
        <v>271</v>
      </c>
      <c r="K61" s="3" t="s">
        <v>277</v>
      </c>
      <c r="L61" s="3" t="s">
        <v>135</v>
      </c>
      <c r="M61" s="3" t="s">
        <v>56</v>
      </c>
    </row>
    <row r="62" ht="22.5" customHeight="1">
      <c r="A62" s="2">
        <v>2004401.0</v>
      </c>
      <c r="B62" s="3" t="s">
        <v>323</v>
      </c>
      <c r="C62" s="4">
        <v>5.515997660016E12</v>
      </c>
      <c r="D62" s="3" t="s">
        <v>101</v>
      </c>
      <c r="E62" s="5">
        <v>814.65</v>
      </c>
      <c r="F62" s="6">
        <v>0.25</v>
      </c>
      <c r="G62" s="7">
        <f t="shared" si="1"/>
        <v>610.9875</v>
      </c>
      <c r="H62" s="3" t="s">
        <v>95</v>
      </c>
      <c r="I62" s="3" t="s">
        <v>44</v>
      </c>
      <c r="J62" s="3" t="s">
        <v>32</v>
      </c>
      <c r="K62" s="3" t="s">
        <v>36</v>
      </c>
      <c r="L62" s="3" t="s">
        <v>31</v>
      </c>
      <c r="M62" s="3" t="s">
        <v>32</v>
      </c>
      <c r="N62" s="3" t="s">
        <v>324</v>
      </c>
      <c r="O62" s="3" t="s">
        <v>50</v>
      </c>
      <c r="P62" s="3" t="s">
        <v>32</v>
      </c>
    </row>
    <row r="63" ht="22.5" customHeight="1">
      <c r="A63" s="2">
        <v>2004214.0</v>
      </c>
      <c r="B63" s="3" t="s">
        <v>325</v>
      </c>
      <c r="C63" s="4">
        <v>5.515974034996E12</v>
      </c>
      <c r="D63" s="3" t="s">
        <v>81</v>
      </c>
      <c r="E63" s="5">
        <v>2489.27</v>
      </c>
      <c r="F63" s="6">
        <v>0.25</v>
      </c>
      <c r="G63" s="7">
        <f t="shared" si="1"/>
        <v>1866.9525</v>
      </c>
      <c r="H63" s="3" t="s">
        <v>203</v>
      </c>
      <c r="I63" s="3" t="s">
        <v>199</v>
      </c>
      <c r="J63" s="3" t="s">
        <v>32</v>
      </c>
      <c r="K63" s="3" t="s">
        <v>59</v>
      </c>
      <c r="L63" s="3" t="s">
        <v>163</v>
      </c>
      <c r="M63" s="3" t="s">
        <v>56</v>
      </c>
      <c r="N63" s="3" t="s">
        <v>206</v>
      </c>
      <c r="O63" s="3" t="s">
        <v>31</v>
      </c>
      <c r="P63" s="3" t="s">
        <v>32</v>
      </c>
      <c r="Q63" s="3" t="s">
        <v>168</v>
      </c>
      <c r="R63" s="3" t="s">
        <v>31</v>
      </c>
      <c r="S63" s="3" t="s">
        <v>32</v>
      </c>
      <c r="T63" s="3" t="s">
        <v>37</v>
      </c>
      <c r="U63" s="3" t="s">
        <v>199</v>
      </c>
      <c r="V63" s="3" t="s">
        <v>32</v>
      </c>
    </row>
    <row r="64" ht="22.5" customHeight="1">
      <c r="A64" s="2">
        <v>2004043.0</v>
      </c>
      <c r="B64" s="3" t="s">
        <v>326</v>
      </c>
      <c r="C64" s="4">
        <v>5.515996030489E12</v>
      </c>
      <c r="D64" s="3" t="s">
        <v>81</v>
      </c>
      <c r="E64" s="5">
        <v>1724.5</v>
      </c>
      <c r="F64" s="6">
        <v>0.25</v>
      </c>
      <c r="G64" s="7">
        <f t="shared" si="1"/>
        <v>1293.375</v>
      </c>
      <c r="H64" s="3" t="s">
        <v>143</v>
      </c>
      <c r="I64" s="3" t="s">
        <v>44</v>
      </c>
      <c r="J64" s="3" t="s">
        <v>32</v>
      </c>
    </row>
    <row r="65" ht="22.5" customHeight="1">
      <c r="A65" s="2">
        <v>2003937.0</v>
      </c>
      <c r="B65" s="3" t="s">
        <v>327</v>
      </c>
      <c r="C65" s="4">
        <v>5.511919877848E12</v>
      </c>
      <c r="D65" s="3" t="s">
        <v>68</v>
      </c>
      <c r="E65" s="5">
        <v>1834.51</v>
      </c>
      <c r="F65" s="6">
        <v>0.25</v>
      </c>
      <c r="G65" s="7">
        <f t="shared" si="1"/>
        <v>1375.8825</v>
      </c>
      <c r="H65" s="3" t="s">
        <v>33</v>
      </c>
      <c r="I65" s="3" t="s">
        <v>221</v>
      </c>
      <c r="J65" s="3" t="s">
        <v>32</v>
      </c>
      <c r="K65" s="3" t="s">
        <v>108</v>
      </c>
      <c r="L65" s="3" t="s">
        <v>31</v>
      </c>
      <c r="M65" s="3" t="s">
        <v>56</v>
      </c>
    </row>
    <row r="66" ht="22.5" customHeight="1">
      <c r="A66" s="2">
        <v>2003926.0</v>
      </c>
      <c r="B66" s="3" t="s">
        <v>328</v>
      </c>
      <c r="C66" s="4">
        <v>5.515998833222E12</v>
      </c>
      <c r="D66" s="3" t="s">
        <v>81</v>
      </c>
      <c r="E66" s="5">
        <v>1894.64</v>
      </c>
      <c r="F66" s="6">
        <v>0.25</v>
      </c>
      <c r="G66" s="7">
        <f t="shared" si="1"/>
        <v>1420.98</v>
      </c>
      <c r="H66" s="3" t="s">
        <v>212</v>
      </c>
      <c r="I66" s="3" t="s">
        <v>84</v>
      </c>
      <c r="J66" s="3" t="s">
        <v>32</v>
      </c>
      <c r="K66" s="3" t="s">
        <v>132</v>
      </c>
      <c r="L66" s="3" t="s">
        <v>74</v>
      </c>
      <c r="M66" s="3" t="s">
        <v>32</v>
      </c>
      <c r="N66" s="3" t="s">
        <v>37</v>
      </c>
      <c r="O66" s="3" t="s">
        <v>84</v>
      </c>
      <c r="P66" s="3" t="s">
        <v>32</v>
      </c>
    </row>
    <row r="67" ht="22.5" customHeight="1">
      <c r="A67" s="2">
        <v>2003001.0</v>
      </c>
      <c r="B67" s="3" t="s">
        <v>329</v>
      </c>
      <c r="C67" s="4">
        <v>5.515991709118E12</v>
      </c>
      <c r="D67" s="3" t="s">
        <v>58</v>
      </c>
      <c r="E67" s="5">
        <v>11893.13</v>
      </c>
      <c r="F67" s="6">
        <v>0.25</v>
      </c>
      <c r="G67" s="7">
        <f t="shared" si="1"/>
        <v>8919.8475</v>
      </c>
      <c r="H67" s="3" t="s">
        <v>33</v>
      </c>
      <c r="I67" s="3" t="s">
        <v>330</v>
      </c>
      <c r="J67" s="3" t="s">
        <v>70</v>
      </c>
      <c r="K67" s="3" t="s">
        <v>35</v>
      </c>
      <c r="L67" s="3" t="s">
        <v>330</v>
      </c>
      <c r="M67" s="3" t="s">
        <v>70</v>
      </c>
    </row>
    <row r="68" ht="22.5" customHeight="1">
      <c r="A68" s="2">
        <v>2002998.0</v>
      </c>
      <c r="B68" s="3" t="s">
        <v>329</v>
      </c>
      <c r="C68" s="4">
        <v>5.515991709118E12</v>
      </c>
      <c r="D68" s="3" t="s">
        <v>58</v>
      </c>
      <c r="E68" s="5">
        <v>2455.52</v>
      </c>
      <c r="F68" s="6">
        <v>0.25</v>
      </c>
      <c r="G68" s="7">
        <f t="shared" si="1"/>
        <v>1841.64</v>
      </c>
      <c r="H68" s="3" t="s">
        <v>203</v>
      </c>
      <c r="I68" s="3" t="s">
        <v>234</v>
      </c>
      <c r="J68" s="3" t="s">
        <v>32</v>
      </c>
      <c r="K68" s="3" t="s">
        <v>108</v>
      </c>
      <c r="L68" s="3" t="s">
        <v>31</v>
      </c>
      <c r="M68" s="3" t="s">
        <v>32</v>
      </c>
      <c r="N68" s="3" t="s">
        <v>36</v>
      </c>
      <c r="O68" s="3" t="s">
        <v>31</v>
      </c>
      <c r="P68" s="3" t="s">
        <v>32</v>
      </c>
      <c r="Q68" s="3" t="s">
        <v>37</v>
      </c>
      <c r="R68" s="3" t="s">
        <v>331</v>
      </c>
      <c r="S68" s="3" t="s">
        <v>46</v>
      </c>
    </row>
    <row r="69" ht="22.5" customHeight="1">
      <c r="A69" s="2">
        <v>2002991.0</v>
      </c>
      <c r="B69" s="3" t="s">
        <v>329</v>
      </c>
      <c r="C69" s="4">
        <v>5.515991709118E12</v>
      </c>
      <c r="D69" s="3" t="s">
        <v>58</v>
      </c>
      <c r="E69" s="5">
        <v>14348.65</v>
      </c>
      <c r="F69" s="6">
        <v>0.25</v>
      </c>
      <c r="G69" s="7">
        <f t="shared" si="1"/>
        <v>10761.4875</v>
      </c>
      <c r="H69" s="3" t="s">
        <v>33</v>
      </c>
      <c r="I69" s="3" t="s">
        <v>330</v>
      </c>
      <c r="J69" s="3" t="s">
        <v>70</v>
      </c>
      <c r="K69" s="3" t="s">
        <v>203</v>
      </c>
      <c r="L69" s="3" t="s">
        <v>234</v>
      </c>
      <c r="M69" s="3" t="s">
        <v>32</v>
      </c>
      <c r="N69" s="3" t="s">
        <v>35</v>
      </c>
      <c r="O69" s="3" t="s">
        <v>330</v>
      </c>
      <c r="P69" s="3" t="s">
        <v>70</v>
      </c>
      <c r="Q69" s="3" t="s">
        <v>108</v>
      </c>
      <c r="R69" s="3" t="s">
        <v>31</v>
      </c>
      <c r="S69" s="3" t="s">
        <v>32</v>
      </c>
      <c r="T69" s="3" t="s">
        <v>36</v>
      </c>
      <c r="U69" s="3" t="s">
        <v>31</v>
      </c>
      <c r="V69" s="3" t="s">
        <v>32</v>
      </c>
      <c r="W69" s="3" t="s">
        <v>37</v>
      </c>
      <c r="X69" s="3" t="s">
        <v>331</v>
      </c>
      <c r="Y69" s="3" t="s">
        <v>46</v>
      </c>
    </row>
    <row r="70" ht="22.5" customHeight="1">
      <c r="A70" s="2">
        <v>2002885.0</v>
      </c>
      <c r="B70" s="3" t="s">
        <v>332</v>
      </c>
      <c r="C70" s="4">
        <v>5.515991479976E12</v>
      </c>
      <c r="D70" s="3" t="s">
        <v>68</v>
      </c>
      <c r="E70" s="5">
        <v>3339.37</v>
      </c>
      <c r="F70" s="6">
        <v>0.25</v>
      </c>
      <c r="G70" s="7">
        <f t="shared" si="1"/>
        <v>2504.5275</v>
      </c>
      <c r="H70" s="3" t="s">
        <v>132</v>
      </c>
      <c r="I70" s="3" t="s">
        <v>131</v>
      </c>
      <c r="J70" s="3" t="s">
        <v>32</v>
      </c>
      <c r="K70" s="3" t="s">
        <v>62</v>
      </c>
      <c r="L70" s="3" t="s">
        <v>92</v>
      </c>
      <c r="M70" s="3" t="s">
        <v>32</v>
      </c>
      <c r="N70" s="3" t="s">
        <v>206</v>
      </c>
      <c r="O70" s="3" t="s">
        <v>31</v>
      </c>
      <c r="P70" s="3" t="s">
        <v>32</v>
      </c>
      <c r="Q70" s="3" t="s">
        <v>37</v>
      </c>
      <c r="R70" s="3" t="s">
        <v>333</v>
      </c>
      <c r="S70" s="3" t="s">
        <v>254</v>
      </c>
    </row>
    <row r="71" ht="22.5" customHeight="1">
      <c r="A71" s="2">
        <v>2002874.0</v>
      </c>
      <c r="B71" s="3" t="s">
        <v>332</v>
      </c>
      <c r="C71" s="4">
        <v>5.515991479976E12</v>
      </c>
      <c r="D71" s="3" t="s">
        <v>68</v>
      </c>
      <c r="E71" s="5">
        <v>4854.96</v>
      </c>
      <c r="F71" s="6">
        <v>0.25</v>
      </c>
      <c r="G71" s="7">
        <f t="shared" si="1"/>
        <v>3641.22</v>
      </c>
      <c r="H71" s="3" t="s">
        <v>128</v>
      </c>
      <c r="I71" s="3" t="s">
        <v>31</v>
      </c>
      <c r="J71" s="3" t="s">
        <v>32</v>
      </c>
    </row>
    <row r="72" ht="22.5" customHeight="1">
      <c r="A72" s="2">
        <v>2002855.0</v>
      </c>
      <c r="B72" s="3" t="s">
        <v>334</v>
      </c>
      <c r="C72" s="4">
        <v>5.515981559093E12</v>
      </c>
      <c r="D72" s="3" t="s">
        <v>68</v>
      </c>
      <c r="E72" s="5">
        <v>4854.96</v>
      </c>
      <c r="F72" s="6">
        <v>0.25</v>
      </c>
      <c r="G72" s="7">
        <f t="shared" si="1"/>
        <v>3641.22</v>
      </c>
      <c r="H72" s="3" t="s">
        <v>128</v>
      </c>
      <c r="I72" s="3" t="s">
        <v>31</v>
      </c>
      <c r="J72" s="3" t="s">
        <v>32</v>
      </c>
    </row>
    <row r="73" ht="22.5" customHeight="1">
      <c r="A73" s="2">
        <v>2002721.0</v>
      </c>
      <c r="B73" s="3" t="s">
        <v>335</v>
      </c>
      <c r="C73" s="4">
        <v>5.515997000246E12</v>
      </c>
      <c r="D73" s="3" t="s">
        <v>173</v>
      </c>
      <c r="E73" s="5">
        <v>1520.03</v>
      </c>
      <c r="F73" s="6">
        <v>0.25</v>
      </c>
      <c r="G73" s="7">
        <f t="shared" si="1"/>
        <v>1140.0225</v>
      </c>
      <c r="H73" s="3" t="s">
        <v>143</v>
      </c>
      <c r="I73" s="3" t="s">
        <v>44</v>
      </c>
      <c r="J73" s="3" t="s">
        <v>32</v>
      </c>
    </row>
    <row r="74" ht="22.5" customHeight="1">
      <c r="A74" s="2">
        <v>2002430.0</v>
      </c>
      <c r="B74" s="3" t="s">
        <v>146</v>
      </c>
      <c r="C74" s="4">
        <v>5.515991550082E12</v>
      </c>
      <c r="D74" s="3" t="s">
        <v>76</v>
      </c>
      <c r="E74" s="5">
        <v>6897.13</v>
      </c>
      <c r="F74" s="6">
        <v>0.25</v>
      </c>
      <c r="G74" s="7">
        <f t="shared" si="1"/>
        <v>5172.8475</v>
      </c>
      <c r="H74" s="3" t="s">
        <v>33</v>
      </c>
      <c r="I74" s="3" t="s">
        <v>147</v>
      </c>
      <c r="J74" s="3" t="s">
        <v>56</v>
      </c>
      <c r="K74" s="3" t="s">
        <v>35</v>
      </c>
      <c r="L74" s="3" t="s">
        <v>147</v>
      </c>
      <c r="M74" s="3" t="s">
        <v>56</v>
      </c>
      <c r="N74" s="3" t="s">
        <v>108</v>
      </c>
      <c r="O74" s="3" t="s">
        <v>31</v>
      </c>
      <c r="P74" s="3" t="s">
        <v>32</v>
      </c>
      <c r="Q74" s="3" t="s">
        <v>36</v>
      </c>
      <c r="R74" s="3" t="s">
        <v>31</v>
      </c>
      <c r="S74" s="3" t="s">
        <v>32</v>
      </c>
      <c r="T74" s="3" t="s">
        <v>37</v>
      </c>
      <c r="U74" s="3" t="s">
        <v>148</v>
      </c>
      <c r="V74" s="3" t="s">
        <v>61</v>
      </c>
    </row>
    <row r="75" ht="22.5" customHeight="1">
      <c r="A75" s="2">
        <v>2002269.0</v>
      </c>
      <c r="B75" s="3" t="s">
        <v>336</v>
      </c>
      <c r="C75" s="4">
        <v>5.515991655996E12</v>
      </c>
      <c r="D75" s="3" t="s">
        <v>296</v>
      </c>
      <c r="E75" s="5">
        <v>394.72</v>
      </c>
      <c r="F75" s="6">
        <v>0.25</v>
      </c>
      <c r="G75" s="7">
        <f t="shared" si="1"/>
        <v>296.04</v>
      </c>
      <c r="H75" s="3" t="s">
        <v>59</v>
      </c>
      <c r="I75" s="3" t="s">
        <v>126</v>
      </c>
      <c r="J75" s="3" t="s">
        <v>32</v>
      </c>
    </row>
    <row r="76" ht="22.5" customHeight="1">
      <c r="A76" s="2">
        <v>2001311.0</v>
      </c>
      <c r="B76" s="3" t="s">
        <v>336</v>
      </c>
      <c r="C76" s="4">
        <v>5.515991655996E12</v>
      </c>
      <c r="D76" s="3" t="s">
        <v>296</v>
      </c>
      <c r="E76" s="5">
        <v>3449.0</v>
      </c>
      <c r="F76" s="6">
        <v>0.25</v>
      </c>
      <c r="G76" s="7">
        <f t="shared" si="1"/>
        <v>2586.75</v>
      </c>
      <c r="H76" s="3" t="s">
        <v>143</v>
      </c>
      <c r="I76" s="3" t="s">
        <v>135</v>
      </c>
      <c r="J76" s="3" t="s">
        <v>56</v>
      </c>
    </row>
    <row r="77" ht="22.5" customHeight="1">
      <c r="A77" s="2">
        <v>2000548.0</v>
      </c>
      <c r="B77" s="3" t="s">
        <v>337</v>
      </c>
      <c r="C77" s="4">
        <v>5.515991385616E12</v>
      </c>
      <c r="D77" s="3" t="s">
        <v>155</v>
      </c>
      <c r="E77" s="5">
        <v>674.14</v>
      </c>
      <c r="F77" s="6">
        <v>0.25</v>
      </c>
      <c r="G77" s="7">
        <f t="shared" si="1"/>
        <v>505.605</v>
      </c>
      <c r="H77" s="3" t="s">
        <v>108</v>
      </c>
      <c r="I77" s="3" t="s">
        <v>31</v>
      </c>
      <c r="J77" s="3" t="s">
        <v>56</v>
      </c>
      <c r="K77" s="3" t="s">
        <v>37</v>
      </c>
      <c r="L77" s="3" t="s">
        <v>338</v>
      </c>
      <c r="M77" s="3" t="s">
        <v>32</v>
      </c>
    </row>
    <row r="78" ht="22.5" customHeight="1">
      <c r="A78" s="2">
        <v>2000433.0</v>
      </c>
      <c r="B78" s="3" t="s">
        <v>339</v>
      </c>
      <c r="C78" s="4">
        <v>5.515981593959E12</v>
      </c>
      <c r="D78" s="3" t="s">
        <v>29</v>
      </c>
      <c r="E78" s="5">
        <v>772.8</v>
      </c>
      <c r="F78" s="6">
        <v>0.25</v>
      </c>
      <c r="G78" s="7">
        <f t="shared" si="1"/>
        <v>579.6</v>
      </c>
      <c r="H78" s="3" t="s">
        <v>203</v>
      </c>
      <c r="I78" s="3" t="s">
        <v>115</v>
      </c>
      <c r="J78" s="3" t="s">
        <v>32</v>
      </c>
      <c r="K78" s="3" t="s">
        <v>37</v>
      </c>
      <c r="L78" s="3" t="s">
        <v>115</v>
      </c>
      <c r="M78" s="3" t="s">
        <v>32</v>
      </c>
    </row>
    <row r="79" ht="22.5" customHeight="1">
      <c r="A79" s="28"/>
      <c r="B79" s="29"/>
      <c r="C79" s="30"/>
      <c r="D79" s="16" t="s">
        <v>238</v>
      </c>
      <c r="E79" s="17">
        <f>SUM(E2:E78)</f>
        <v>337570.97</v>
      </c>
      <c r="F79" s="18" t="s">
        <v>239</v>
      </c>
      <c r="G79" s="19">
        <f>SUM(G2:G78)</f>
        <v>253178.2275</v>
      </c>
      <c r="H79" s="29"/>
      <c r="I79" s="29"/>
      <c r="J79" s="29"/>
      <c r="K79" s="29"/>
      <c r="L79" s="29"/>
      <c r="M79" s="29"/>
      <c r="N79" s="29"/>
      <c r="O79" s="29"/>
      <c r="P79" s="29"/>
      <c r="Q79" s="29"/>
      <c r="R79" s="29"/>
      <c r="S79" s="29"/>
      <c r="T79" s="29"/>
      <c r="U79" s="29"/>
      <c r="V79" s="29"/>
      <c r="W79" s="29"/>
      <c r="X79" s="29"/>
      <c r="Y79" s="29"/>
      <c r="Z79" s="29"/>
    </row>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dataValidations>
    <dataValidation type="custom" allowBlank="1" showDropDown="1" sqref="E2:G79">
      <formula1>AND(ISNUMBER(E2),(NOT(OR(NOT(ISERROR(DATEVALUE(E2))), AND(ISNUMBER(E2), LEFT(CELL("format", E2))="D")))))</formula1>
    </dataValidation>
  </dataValidations>
  <printOptions/>
  <pageMargins bottom="1.0" footer="0.0" header="0.0" left="0.75" right="0.75" top="1.0"/>
  <pageSetup orientation="landscape"/>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5.43"/>
    <col customWidth="1" min="2" max="2" width="33.71"/>
    <col customWidth="1" min="3" max="3" width="16.71"/>
    <col customWidth="1" min="4" max="4" width="38.71"/>
    <col customWidth="1" min="5" max="5" width="19.29"/>
    <col customWidth="1" min="6" max="6" width="17.86"/>
    <col customWidth="1" min="7" max="7" width="18.43"/>
    <col customWidth="1" min="8" max="9" width="43.0"/>
    <col customWidth="1" min="10" max="10" width="18.0"/>
    <col customWidth="1" min="11" max="12" width="43.0"/>
    <col customWidth="1" min="13" max="13" width="18.0"/>
    <col customWidth="1" min="14" max="15" width="43.0"/>
    <col customWidth="1" min="16" max="16" width="18.0"/>
    <col customWidth="1" min="17" max="17" width="31.14"/>
    <col customWidth="1" min="18" max="18" width="43.0"/>
    <col customWidth="1" min="19" max="19" width="18.0"/>
    <col customWidth="1" min="20" max="20" width="43.0"/>
    <col customWidth="1" min="21" max="21" width="21.0"/>
    <col customWidth="1" min="22" max="22" width="18.0"/>
    <col customWidth="1" min="23" max="23" width="25.86"/>
    <col customWidth="1" min="24" max="24" width="43.0"/>
    <col customWidth="1" min="25" max="25" width="18.0"/>
    <col customWidth="1" min="26" max="26" width="18.14"/>
    <col customWidth="1" min="27" max="27" width="21.0"/>
    <col customWidth="1" min="28" max="28" width="18.0"/>
    <col customWidth="1" min="29" max="29" width="25.86"/>
    <col customWidth="1" min="30" max="30" width="43.0"/>
    <col customWidth="1" min="31" max="31" width="18.0"/>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340</v>
      </c>
      <c r="AD1" s="1" t="s">
        <v>341</v>
      </c>
      <c r="AE1" s="1" t="s">
        <v>342</v>
      </c>
    </row>
    <row r="2" ht="22.5" customHeight="1">
      <c r="A2" s="3">
        <v>2034459.0</v>
      </c>
      <c r="B2" s="3" t="s">
        <v>343</v>
      </c>
      <c r="C2" s="4">
        <v>5.515991747225E12</v>
      </c>
      <c r="D2" s="3" t="s">
        <v>155</v>
      </c>
      <c r="E2" s="5">
        <v>3197.01</v>
      </c>
      <c r="F2" s="6">
        <v>0.25</v>
      </c>
      <c r="G2" s="7">
        <f t="shared" ref="G2:G66" si="1">E2*(1-F2)</f>
        <v>2397.7575</v>
      </c>
      <c r="H2" s="3" t="s">
        <v>62</v>
      </c>
      <c r="I2" s="3" t="s">
        <v>84</v>
      </c>
      <c r="J2" s="3" t="s">
        <v>32</v>
      </c>
      <c r="K2" s="3" t="s">
        <v>108</v>
      </c>
      <c r="L2" s="3" t="s">
        <v>31</v>
      </c>
      <c r="M2" s="3" t="s">
        <v>32</v>
      </c>
      <c r="N2" s="3" t="s">
        <v>143</v>
      </c>
      <c r="O2" s="3" t="s">
        <v>135</v>
      </c>
      <c r="P2" s="3" t="s">
        <v>56</v>
      </c>
      <c r="Q2" s="3" t="s">
        <v>36</v>
      </c>
      <c r="R2" s="3" t="s">
        <v>31</v>
      </c>
      <c r="S2" s="3" t="s">
        <v>32</v>
      </c>
    </row>
    <row r="3" ht="22.5" customHeight="1">
      <c r="A3" s="3">
        <v>2034447.0</v>
      </c>
      <c r="B3" s="3" t="s">
        <v>343</v>
      </c>
      <c r="C3" s="4">
        <v>5.515991747225E12</v>
      </c>
      <c r="D3" s="3" t="s">
        <v>155</v>
      </c>
      <c r="E3" s="5">
        <v>16055.76</v>
      </c>
      <c r="F3" s="6">
        <v>0.25</v>
      </c>
      <c r="G3" s="7">
        <f t="shared" si="1"/>
        <v>12041.82</v>
      </c>
      <c r="H3" s="3" t="s">
        <v>33</v>
      </c>
      <c r="I3" s="3" t="s">
        <v>185</v>
      </c>
      <c r="J3" s="3" t="s">
        <v>186</v>
      </c>
      <c r="K3" s="3" t="s">
        <v>277</v>
      </c>
      <c r="L3" s="3" t="s">
        <v>44</v>
      </c>
      <c r="M3" s="3" t="s">
        <v>32</v>
      </c>
    </row>
    <row r="4" ht="22.5" customHeight="1">
      <c r="A4" s="3">
        <v>2033656.0</v>
      </c>
      <c r="B4" s="3" t="s">
        <v>344</v>
      </c>
      <c r="C4" s="4">
        <v>5.515981517709E12</v>
      </c>
      <c r="D4" s="3" t="s">
        <v>29</v>
      </c>
      <c r="E4" s="5">
        <v>4690.6</v>
      </c>
      <c r="F4" s="6">
        <v>0.25</v>
      </c>
      <c r="G4" s="7">
        <f t="shared" si="1"/>
        <v>3517.95</v>
      </c>
      <c r="H4" s="3" t="s">
        <v>41</v>
      </c>
      <c r="I4" s="3" t="s">
        <v>31</v>
      </c>
      <c r="J4" s="3" t="s">
        <v>32</v>
      </c>
    </row>
    <row r="5" ht="22.5" customHeight="1">
      <c r="A5" s="3">
        <v>2033370.0</v>
      </c>
      <c r="B5" s="3" t="s">
        <v>345</v>
      </c>
      <c r="C5" s="4">
        <v>5.511984772797E12</v>
      </c>
      <c r="D5" s="3" t="s">
        <v>29</v>
      </c>
      <c r="E5" s="5">
        <v>279.96</v>
      </c>
      <c r="F5" s="6">
        <v>0.25</v>
      </c>
      <c r="G5" s="7">
        <f t="shared" si="1"/>
        <v>209.97</v>
      </c>
      <c r="H5" s="3" t="s">
        <v>108</v>
      </c>
      <c r="I5" s="3" t="s">
        <v>31</v>
      </c>
      <c r="J5" s="3" t="s">
        <v>32</v>
      </c>
    </row>
    <row r="6" ht="22.5" customHeight="1">
      <c r="A6" s="3">
        <v>2033364.0</v>
      </c>
      <c r="B6" s="3" t="s">
        <v>346</v>
      </c>
      <c r="C6" s="4">
        <v>5.511984772797E12</v>
      </c>
      <c r="D6" s="3" t="s">
        <v>29</v>
      </c>
      <c r="E6" s="5">
        <v>5783.92</v>
      </c>
      <c r="F6" s="6">
        <v>0.25</v>
      </c>
      <c r="G6" s="7">
        <f t="shared" si="1"/>
        <v>4337.94</v>
      </c>
      <c r="H6" s="3" t="s">
        <v>206</v>
      </c>
      <c r="I6" s="3" t="s">
        <v>31</v>
      </c>
      <c r="J6" s="3" t="s">
        <v>32</v>
      </c>
      <c r="K6" s="3" t="s">
        <v>37</v>
      </c>
      <c r="L6" s="3" t="s">
        <v>176</v>
      </c>
      <c r="M6" s="3" t="s">
        <v>56</v>
      </c>
      <c r="N6" s="3" t="s">
        <v>41</v>
      </c>
      <c r="O6" s="3" t="s">
        <v>31</v>
      </c>
      <c r="P6" s="3" t="s">
        <v>32</v>
      </c>
    </row>
    <row r="7" ht="22.5" customHeight="1">
      <c r="A7" s="3">
        <v>2033028.0</v>
      </c>
      <c r="B7" s="3" t="s">
        <v>347</v>
      </c>
      <c r="C7" s="4">
        <v>5.515997340028E12</v>
      </c>
      <c r="D7" s="3" t="s">
        <v>89</v>
      </c>
      <c r="E7" s="5">
        <v>1179.33</v>
      </c>
      <c r="F7" s="6">
        <v>0.25</v>
      </c>
      <c r="G7" s="7">
        <f t="shared" si="1"/>
        <v>884.4975</v>
      </c>
      <c r="H7" s="3" t="s">
        <v>165</v>
      </c>
      <c r="I7" s="3" t="s">
        <v>50</v>
      </c>
      <c r="J7" s="3" t="s">
        <v>32</v>
      </c>
    </row>
    <row r="8" ht="22.5" customHeight="1">
      <c r="A8" s="3">
        <v>2032827.0</v>
      </c>
      <c r="B8" s="3" t="s">
        <v>348</v>
      </c>
      <c r="C8" s="4">
        <v>5.515992625555E12</v>
      </c>
      <c r="D8" s="3" t="s">
        <v>40</v>
      </c>
      <c r="E8" s="5">
        <v>950.61</v>
      </c>
      <c r="F8" s="6">
        <v>0.25</v>
      </c>
      <c r="G8" s="7">
        <f t="shared" si="1"/>
        <v>712.9575</v>
      </c>
      <c r="H8" s="3" t="s">
        <v>108</v>
      </c>
      <c r="I8" s="3" t="s">
        <v>31</v>
      </c>
      <c r="J8" s="3" t="s">
        <v>32</v>
      </c>
      <c r="K8" s="3" t="s">
        <v>36</v>
      </c>
      <c r="L8" s="3" t="s">
        <v>31</v>
      </c>
      <c r="M8" s="3" t="s">
        <v>32</v>
      </c>
      <c r="N8" s="3" t="s">
        <v>37</v>
      </c>
      <c r="O8" s="3" t="s">
        <v>349</v>
      </c>
      <c r="P8" s="3" t="s">
        <v>61</v>
      </c>
    </row>
    <row r="9" ht="22.5" customHeight="1">
      <c r="A9" s="3">
        <v>2032552.0</v>
      </c>
      <c r="B9" s="3" t="s">
        <v>350</v>
      </c>
      <c r="C9" s="4">
        <v>5.515988082842E12</v>
      </c>
      <c r="D9" s="3" t="s">
        <v>58</v>
      </c>
      <c r="E9" s="5">
        <v>4627.49</v>
      </c>
      <c r="F9" s="6">
        <v>0.25</v>
      </c>
      <c r="G9" s="7">
        <f t="shared" si="1"/>
        <v>3470.6175</v>
      </c>
      <c r="H9" s="3" t="s">
        <v>82</v>
      </c>
      <c r="I9" s="3" t="s">
        <v>135</v>
      </c>
      <c r="J9" s="3" t="s">
        <v>56</v>
      </c>
      <c r="K9" s="3" t="s">
        <v>59</v>
      </c>
      <c r="L9" s="3" t="s">
        <v>307</v>
      </c>
      <c r="M9" s="3" t="s">
        <v>70</v>
      </c>
      <c r="N9" s="3" t="s">
        <v>108</v>
      </c>
      <c r="O9" s="3" t="s">
        <v>31</v>
      </c>
      <c r="P9" s="3" t="s">
        <v>32</v>
      </c>
      <c r="Q9" s="3" t="s">
        <v>95</v>
      </c>
      <c r="R9" s="3" t="s">
        <v>44</v>
      </c>
      <c r="S9" s="3" t="s">
        <v>32</v>
      </c>
      <c r="T9" s="3" t="s">
        <v>36</v>
      </c>
      <c r="U9" s="3" t="s">
        <v>31</v>
      </c>
      <c r="V9" s="3" t="s">
        <v>32</v>
      </c>
      <c r="W9" s="3" t="s">
        <v>37</v>
      </c>
      <c r="X9" s="3" t="s">
        <v>351</v>
      </c>
      <c r="Y9" s="3" t="s">
        <v>271</v>
      </c>
    </row>
    <row r="10" ht="22.5" customHeight="1">
      <c r="A10" s="3">
        <v>2032446.0</v>
      </c>
      <c r="B10" s="3" t="s">
        <v>352</v>
      </c>
      <c r="C10" s="4">
        <v>5.515998378531E12</v>
      </c>
      <c r="D10" s="3" t="s">
        <v>58</v>
      </c>
      <c r="E10" s="5">
        <v>1532.08</v>
      </c>
      <c r="F10" s="6">
        <v>0.25</v>
      </c>
      <c r="G10" s="7">
        <f t="shared" si="1"/>
        <v>1149.06</v>
      </c>
      <c r="H10" s="3" t="s">
        <v>62</v>
      </c>
      <c r="I10" s="3" t="s">
        <v>104</v>
      </c>
      <c r="J10" s="3" t="s">
        <v>32</v>
      </c>
      <c r="K10" s="3" t="s">
        <v>108</v>
      </c>
      <c r="L10" s="3" t="s">
        <v>31</v>
      </c>
      <c r="M10" s="3" t="s">
        <v>56</v>
      </c>
      <c r="N10" s="3" t="s">
        <v>36</v>
      </c>
      <c r="O10" s="3" t="s">
        <v>31</v>
      </c>
      <c r="P10" s="3" t="s">
        <v>32</v>
      </c>
      <c r="Q10" s="3" t="s">
        <v>37</v>
      </c>
      <c r="R10" s="3" t="s">
        <v>353</v>
      </c>
      <c r="S10" s="3" t="s">
        <v>186</v>
      </c>
    </row>
    <row r="11" ht="22.5" customHeight="1">
      <c r="A11" s="3">
        <v>2032055.0</v>
      </c>
      <c r="B11" s="3" t="s">
        <v>354</v>
      </c>
      <c r="C11" s="4">
        <v>5.515997789107E12</v>
      </c>
      <c r="D11" s="3" t="s">
        <v>58</v>
      </c>
      <c r="E11" s="5">
        <v>1290.89</v>
      </c>
      <c r="F11" s="6">
        <v>0.25</v>
      </c>
      <c r="G11" s="7">
        <f t="shared" si="1"/>
        <v>968.1675</v>
      </c>
      <c r="H11" s="3" t="s">
        <v>82</v>
      </c>
      <c r="I11" s="3" t="s">
        <v>135</v>
      </c>
      <c r="J11" s="3" t="s">
        <v>32</v>
      </c>
      <c r="K11" s="3" t="s">
        <v>108</v>
      </c>
      <c r="L11" s="3" t="s">
        <v>31</v>
      </c>
      <c r="M11" s="3" t="s">
        <v>32</v>
      </c>
      <c r="N11" s="3" t="s">
        <v>37</v>
      </c>
      <c r="O11" s="3" t="s">
        <v>355</v>
      </c>
      <c r="P11" s="3" t="s">
        <v>170</v>
      </c>
    </row>
    <row r="12" ht="22.5" customHeight="1">
      <c r="A12" s="3">
        <v>2031729.0</v>
      </c>
      <c r="B12" s="3" t="s">
        <v>356</v>
      </c>
      <c r="C12" s="4">
        <v>5.515996101915E12</v>
      </c>
      <c r="D12" s="3" t="s">
        <v>184</v>
      </c>
      <c r="E12" s="5">
        <v>6954.36</v>
      </c>
      <c r="F12" s="6">
        <v>0.25</v>
      </c>
      <c r="G12" s="7">
        <f t="shared" si="1"/>
        <v>5215.77</v>
      </c>
    </row>
    <row r="13" ht="22.5" customHeight="1">
      <c r="A13" s="3">
        <v>2031528.0</v>
      </c>
      <c r="B13" s="3" t="s">
        <v>357</v>
      </c>
      <c r="C13" s="4">
        <v>5.515981367748E12</v>
      </c>
      <c r="D13" s="3" t="s">
        <v>184</v>
      </c>
      <c r="E13" s="5">
        <v>3104.1</v>
      </c>
      <c r="F13" s="6">
        <v>0.25</v>
      </c>
      <c r="G13" s="7">
        <f t="shared" si="1"/>
        <v>2328.075</v>
      </c>
      <c r="H13" s="3" t="s">
        <v>62</v>
      </c>
      <c r="I13" s="3" t="s">
        <v>358</v>
      </c>
      <c r="J13" s="3" t="s">
        <v>170</v>
      </c>
      <c r="K13" s="3" t="s">
        <v>165</v>
      </c>
      <c r="L13" s="3" t="s">
        <v>44</v>
      </c>
      <c r="M13" s="3" t="s">
        <v>32</v>
      </c>
      <c r="N13" s="3" t="s">
        <v>49</v>
      </c>
      <c r="O13" s="3" t="s">
        <v>44</v>
      </c>
      <c r="P13" s="3" t="s">
        <v>32</v>
      </c>
    </row>
    <row r="14" ht="22.5" customHeight="1">
      <c r="A14" s="3">
        <v>2031372.0</v>
      </c>
      <c r="B14" s="3" t="s">
        <v>359</v>
      </c>
      <c r="C14" s="4">
        <v>5.515996101058E12</v>
      </c>
      <c r="D14" s="3" t="s">
        <v>360</v>
      </c>
      <c r="E14" s="5">
        <v>1870.25</v>
      </c>
      <c r="F14" s="6">
        <v>0.25</v>
      </c>
      <c r="G14" s="7">
        <f t="shared" si="1"/>
        <v>1402.6875</v>
      </c>
      <c r="H14" s="3" t="s">
        <v>212</v>
      </c>
      <c r="I14" s="3" t="s">
        <v>34</v>
      </c>
      <c r="J14" s="3" t="s">
        <v>32</v>
      </c>
      <c r="K14" s="3" t="s">
        <v>361</v>
      </c>
      <c r="L14" s="3" t="s">
        <v>104</v>
      </c>
      <c r="M14" s="3" t="s">
        <v>32</v>
      </c>
      <c r="N14" s="3" t="s">
        <v>85</v>
      </c>
      <c r="O14" s="3" t="s">
        <v>104</v>
      </c>
      <c r="P14" s="3" t="s">
        <v>32</v>
      </c>
    </row>
    <row r="15" ht="22.5" customHeight="1">
      <c r="A15" s="3">
        <v>2031296.0</v>
      </c>
      <c r="B15" s="3" t="s">
        <v>362</v>
      </c>
      <c r="C15" s="4">
        <v>5.531997807888E12</v>
      </c>
      <c r="D15" s="3" t="s">
        <v>184</v>
      </c>
      <c r="E15" s="5">
        <v>4593.7</v>
      </c>
      <c r="F15" s="6">
        <v>0.25</v>
      </c>
      <c r="G15" s="7">
        <f t="shared" si="1"/>
        <v>3445.275</v>
      </c>
      <c r="H15" s="3" t="s">
        <v>91</v>
      </c>
      <c r="I15" s="3" t="s">
        <v>131</v>
      </c>
      <c r="J15" s="3" t="s">
        <v>32</v>
      </c>
      <c r="K15" s="3" t="s">
        <v>108</v>
      </c>
      <c r="L15" s="3" t="s">
        <v>31</v>
      </c>
      <c r="M15" s="3" t="s">
        <v>61</v>
      </c>
      <c r="N15" s="3" t="s">
        <v>143</v>
      </c>
      <c r="O15" s="3" t="s">
        <v>135</v>
      </c>
      <c r="P15" s="3" t="s">
        <v>56</v>
      </c>
      <c r="Q15" s="3" t="s">
        <v>37</v>
      </c>
      <c r="R15" s="3" t="s">
        <v>363</v>
      </c>
      <c r="S15" s="3" t="s">
        <v>56</v>
      </c>
    </row>
    <row r="16" ht="22.5" customHeight="1">
      <c r="A16" s="3">
        <v>2031210.0</v>
      </c>
      <c r="B16" s="3" t="s">
        <v>364</v>
      </c>
      <c r="C16" s="4">
        <v>5.515991548713E12</v>
      </c>
      <c r="D16" s="3" t="s">
        <v>58</v>
      </c>
      <c r="E16" s="5">
        <v>1195.4</v>
      </c>
      <c r="F16" s="6">
        <v>0.25</v>
      </c>
      <c r="G16" s="7">
        <f t="shared" si="1"/>
        <v>896.55</v>
      </c>
      <c r="H16" s="3" t="s">
        <v>36</v>
      </c>
      <c r="I16" s="3" t="s">
        <v>31</v>
      </c>
      <c r="J16" s="3" t="s">
        <v>32</v>
      </c>
      <c r="K16" s="3" t="s">
        <v>37</v>
      </c>
      <c r="L16" s="3" t="s">
        <v>365</v>
      </c>
      <c r="M16" s="3" t="s">
        <v>197</v>
      </c>
    </row>
    <row r="17" ht="22.5" customHeight="1">
      <c r="A17" s="3">
        <v>2031115.0</v>
      </c>
      <c r="B17" s="3" t="s">
        <v>366</v>
      </c>
      <c r="C17" s="4">
        <v>5.515997972804E12</v>
      </c>
      <c r="D17" s="3" t="s">
        <v>360</v>
      </c>
      <c r="E17" s="5">
        <v>702.86</v>
      </c>
      <c r="F17" s="6">
        <v>0.25</v>
      </c>
      <c r="G17" s="7">
        <f t="shared" si="1"/>
        <v>527.145</v>
      </c>
      <c r="H17" s="3" t="s">
        <v>43</v>
      </c>
      <c r="I17" s="3" t="s">
        <v>44</v>
      </c>
      <c r="J17" s="3" t="s">
        <v>32</v>
      </c>
      <c r="K17" s="3" t="s">
        <v>367</v>
      </c>
      <c r="L17" s="3" t="s">
        <v>50</v>
      </c>
      <c r="M17" s="3" t="s">
        <v>32</v>
      </c>
    </row>
    <row r="18" ht="22.5" customHeight="1">
      <c r="A18" s="3">
        <v>2030430.0</v>
      </c>
      <c r="B18" s="3" t="s">
        <v>368</v>
      </c>
      <c r="C18" s="4">
        <v>5.515991648072E12</v>
      </c>
      <c r="D18" s="3" t="s">
        <v>89</v>
      </c>
      <c r="E18" s="5">
        <v>7000.29</v>
      </c>
      <c r="F18" s="6">
        <v>0.25</v>
      </c>
      <c r="G18" s="7">
        <f t="shared" si="1"/>
        <v>5250.2175</v>
      </c>
    </row>
    <row r="19" ht="22.5" customHeight="1">
      <c r="A19" s="3">
        <v>2030397.0</v>
      </c>
      <c r="B19" s="3" t="s">
        <v>369</v>
      </c>
      <c r="C19" s="4">
        <v>5.515997017391E12</v>
      </c>
      <c r="D19" s="3" t="s">
        <v>89</v>
      </c>
      <c r="E19" s="5">
        <v>7832.14</v>
      </c>
      <c r="F19" s="6">
        <v>0.25</v>
      </c>
      <c r="G19" s="7">
        <f t="shared" si="1"/>
        <v>5874.105</v>
      </c>
      <c r="H19" s="3" t="s">
        <v>370</v>
      </c>
      <c r="I19" s="3" t="s">
        <v>371</v>
      </c>
      <c r="J19" s="3" t="s">
        <v>56</v>
      </c>
      <c r="K19" s="3" t="s">
        <v>59</v>
      </c>
      <c r="L19" s="3" t="s">
        <v>313</v>
      </c>
      <c r="M19" s="3" t="s">
        <v>32</v>
      </c>
      <c r="N19" s="3" t="s">
        <v>62</v>
      </c>
      <c r="O19" s="3" t="s">
        <v>372</v>
      </c>
      <c r="P19" s="3" t="s">
        <v>170</v>
      </c>
      <c r="Q19" s="3" t="s">
        <v>85</v>
      </c>
      <c r="R19" s="3" t="s">
        <v>371</v>
      </c>
      <c r="S19" s="3" t="s">
        <v>56</v>
      </c>
      <c r="T19" s="3" t="s">
        <v>143</v>
      </c>
      <c r="U19" s="3" t="s">
        <v>44</v>
      </c>
      <c r="V19" s="3" t="s">
        <v>32</v>
      </c>
      <c r="W19" s="3" t="s">
        <v>123</v>
      </c>
      <c r="X19" s="3" t="s">
        <v>44</v>
      </c>
      <c r="Y19" s="3" t="s">
        <v>32</v>
      </c>
      <c r="Z19" s="3" t="s">
        <v>36</v>
      </c>
      <c r="AA19" s="3" t="s">
        <v>31</v>
      </c>
      <c r="AB19" s="3" t="s">
        <v>32</v>
      </c>
      <c r="AC19" s="3" t="s">
        <v>37</v>
      </c>
      <c r="AD19" s="3" t="s">
        <v>373</v>
      </c>
      <c r="AE19" s="3" t="s">
        <v>170</v>
      </c>
    </row>
    <row r="20" ht="22.5" customHeight="1">
      <c r="A20" s="3">
        <v>2030194.0</v>
      </c>
      <c r="B20" s="3" t="s">
        <v>374</v>
      </c>
      <c r="C20" s="4">
        <v>5.515988005478E12</v>
      </c>
      <c r="D20" s="3" t="s">
        <v>81</v>
      </c>
      <c r="E20" s="5">
        <v>951.68</v>
      </c>
      <c r="F20" s="6">
        <v>0.25</v>
      </c>
      <c r="G20" s="7">
        <f t="shared" si="1"/>
        <v>713.76</v>
      </c>
      <c r="H20" s="3" t="s">
        <v>123</v>
      </c>
      <c r="I20" s="3" t="s">
        <v>44</v>
      </c>
      <c r="J20" s="3" t="s">
        <v>32</v>
      </c>
    </row>
    <row r="21" ht="22.5" customHeight="1">
      <c r="A21" s="3">
        <v>2030178.0</v>
      </c>
      <c r="B21" s="3" t="s">
        <v>375</v>
      </c>
      <c r="C21" s="4">
        <v>5.511992884431E12</v>
      </c>
      <c r="D21" s="3" t="s">
        <v>89</v>
      </c>
      <c r="E21" s="5">
        <v>2489.91</v>
      </c>
      <c r="F21" s="6">
        <v>0.25</v>
      </c>
      <c r="G21" s="7">
        <f t="shared" si="1"/>
        <v>1867.4325</v>
      </c>
      <c r="H21" s="3" t="s">
        <v>91</v>
      </c>
      <c r="I21" s="3" t="s">
        <v>38</v>
      </c>
      <c r="J21" s="3" t="s">
        <v>32</v>
      </c>
      <c r="K21" s="3" t="s">
        <v>108</v>
      </c>
      <c r="L21" s="3" t="s">
        <v>31</v>
      </c>
      <c r="M21" s="3" t="s">
        <v>32</v>
      </c>
      <c r="N21" s="3" t="s">
        <v>143</v>
      </c>
      <c r="O21" s="3" t="s">
        <v>44</v>
      </c>
      <c r="P21" s="3" t="s">
        <v>32</v>
      </c>
      <c r="Q21" s="3" t="s">
        <v>36</v>
      </c>
      <c r="R21" s="3" t="s">
        <v>31</v>
      </c>
      <c r="S21" s="3" t="s">
        <v>32</v>
      </c>
      <c r="T21" s="3" t="s">
        <v>37</v>
      </c>
      <c r="U21" s="3" t="s">
        <v>376</v>
      </c>
      <c r="V21" s="3" t="s">
        <v>56</v>
      </c>
    </row>
    <row r="22" ht="22.5" customHeight="1">
      <c r="A22" s="3">
        <v>2030146.0</v>
      </c>
      <c r="B22" s="3" t="s">
        <v>377</v>
      </c>
      <c r="C22" s="4">
        <v>5.515991190598E12</v>
      </c>
      <c r="D22" s="3" t="s">
        <v>89</v>
      </c>
      <c r="E22" s="5">
        <v>6190.88</v>
      </c>
      <c r="F22" s="6">
        <v>0.25</v>
      </c>
      <c r="G22" s="7">
        <f t="shared" si="1"/>
        <v>4643.16</v>
      </c>
      <c r="H22" s="3" t="s">
        <v>130</v>
      </c>
      <c r="I22" s="3" t="s">
        <v>378</v>
      </c>
      <c r="J22" s="3" t="s">
        <v>56</v>
      </c>
      <c r="K22" s="3" t="s">
        <v>91</v>
      </c>
      <c r="L22" s="3" t="s">
        <v>139</v>
      </c>
      <c r="M22" s="3" t="s">
        <v>32</v>
      </c>
      <c r="N22" s="3" t="s">
        <v>108</v>
      </c>
      <c r="O22" s="3" t="s">
        <v>31</v>
      </c>
      <c r="P22" s="3" t="s">
        <v>56</v>
      </c>
      <c r="Q22" s="3" t="s">
        <v>143</v>
      </c>
      <c r="R22" s="3" t="s">
        <v>44</v>
      </c>
      <c r="S22" s="3" t="s">
        <v>32</v>
      </c>
      <c r="T22" s="3" t="s">
        <v>36</v>
      </c>
      <c r="U22" s="3" t="s">
        <v>31</v>
      </c>
      <c r="V22" s="3" t="s">
        <v>32</v>
      </c>
      <c r="W22" s="3" t="s">
        <v>37</v>
      </c>
      <c r="X22" s="3" t="s">
        <v>379</v>
      </c>
      <c r="Y22" s="3" t="s">
        <v>170</v>
      </c>
    </row>
    <row r="23" ht="22.5" customHeight="1">
      <c r="A23" s="3">
        <v>2030122.0</v>
      </c>
      <c r="B23" s="3" t="s">
        <v>380</v>
      </c>
      <c r="C23" s="4">
        <v>5.515996250264E12</v>
      </c>
      <c r="D23" s="3" t="s">
        <v>81</v>
      </c>
      <c r="E23" s="5">
        <v>2044.18</v>
      </c>
      <c r="F23" s="6">
        <v>0.25</v>
      </c>
      <c r="G23" s="7">
        <f t="shared" si="1"/>
        <v>1533.135</v>
      </c>
      <c r="H23" s="3" t="s">
        <v>83</v>
      </c>
      <c r="I23" s="3" t="s">
        <v>115</v>
      </c>
      <c r="J23" s="3" t="s">
        <v>32</v>
      </c>
      <c r="K23" s="3" t="s">
        <v>85</v>
      </c>
      <c r="L23" s="3" t="s">
        <v>115</v>
      </c>
      <c r="M23" s="3" t="s">
        <v>32</v>
      </c>
      <c r="N23" s="3" t="s">
        <v>222</v>
      </c>
      <c r="O23" s="3" t="s">
        <v>115</v>
      </c>
      <c r="P23" s="3" t="s">
        <v>32</v>
      </c>
    </row>
    <row r="24" ht="22.5" customHeight="1">
      <c r="A24" s="3">
        <v>2030048.0</v>
      </c>
      <c r="B24" s="3" t="s">
        <v>381</v>
      </c>
      <c r="C24" s="4">
        <v>5.515991212044E12</v>
      </c>
      <c r="D24" s="3" t="s">
        <v>81</v>
      </c>
      <c r="E24" s="5">
        <v>2132.51</v>
      </c>
      <c r="F24" s="6">
        <v>0.25</v>
      </c>
      <c r="G24" s="7">
        <f t="shared" si="1"/>
        <v>1599.3825</v>
      </c>
      <c r="H24" s="3" t="s">
        <v>83</v>
      </c>
      <c r="I24" s="3" t="s">
        <v>338</v>
      </c>
      <c r="J24" s="3" t="s">
        <v>32</v>
      </c>
      <c r="K24" s="3" t="s">
        <v>85</v>
      </c>
      <c r="L24" s="3" t="s">
        <v>338</v>
      </c>
      <c r="M24" s="3" t="s">
        <v>32</v>
      </c>
      <c r="N24" s="3" t="s">
        <v>37</v>
      </c>
      <c r="O24" s="3" t="s">
        <v>84</v>
      </c>
      <c r="P24" s="3" t="s">
        <v>32</v>
      </c>
    </row>
    <row r="25" ht="22.5" customHeight="1">
      <c r="A25" s="3">
        <v>2029972.0</v>
      </c>
      <c r="B25" s="3" t="s">
        <v>382</v>
      </c>
      <c r="C25" s="4">
        <v>5.515998541658E12</v>
      </c>
      <c r="D25" s="3" t="s">
        <v>81</v>
      </c>
      <c r="E25" s="5">
        <v>3700.7</v>
      </c>
      <c r="F25" s="6">
        <v>0.25</v>
      </c>
      <c r="G25" s="7">
        <f t="shared" si="1"/>
        <v>2775.525</v>
      </c>
      <c r="H25" s="3" t="s">
        <v>82</v>
      </c>
      <c r="I25" s="3" t="s">
        <v>44</v>
      </c>
      <c r="J25" s="3" t="s">
        <v>32</v>
      </c>
      <c r="K25" s="3" t="s">
        <v>41</v>
      </c>
      <c r="L25" s="3" t="s">
        <v>31</v>
      </c>
      <c r="M25" s="3" t="s">
        <v>32</v>
      </c>
    </row>
    <row r="26" ht="22.5" customHeight="1">
      <c r="A26" s="3">
        <v>2029409.0</v>
      </c>
      <c r="B26" s="3" t="s">
        <v>383</v>
      </c>
      <c r="C26" s="4">
        <v>5.515997923451E12</v>
      </c>
      <c r="D26" s="3" t="s">
        <v>29</v>
      </c>
      <c r="E26" s="5">
        <v>4690.15</v>
      </c>
      <c r="F26" s="6">
        <v>0.25</v>
      </c>
      <c r="G26" s="7">
        <f t="shared" si="1"/>
        <v>3517.6125</v>
      </c>
      <c r="H26" s="3" t="s">
        <v>41</v>
      </c>
      <c r="I26" s="3" t="s">
        <v>31</v>
      </c>
      <c r="J26" s="3" t="s">
        <v>32</v>
      </c>
    </row>
    <row r="27" ht="22.5" customHeight="1">
      <c r="A27" s="3">
        <v>2029370.0</v>
      </c>
      <c r="B27" s="3" t="s">
        <v>384</v>
      </c>
      <c r="C27" s="4">
        <v>5.515988068132E12</v>
      </c>
      <c r="D27" s="3" t="s">
        <v>360</v>
      </c>
      <c r="E27" s="5">
        <v>1121.63</v>
      </c>
      <c r="F27" s="6">
        <v>0.25</v>
      </c>
      <c r="G27" s="7">
        <f t="shared" si="1"/>
        <v>841.2225</v>
      </c>
      <c r="H27" s="3" t="s">
        <v>132</v>
      </c>
      <c r="I27" s="3" t="s">
        <v>92</v>
      </c>
      <c r="J27" s="3" t="s">
        <v>32</v>
      </c>
      <c r="K27" s="3" t="s">
        <v>37</v>
      </c>
      <c r="L27" s="3" t="s">
        <v>92</v>
      </c>
      <c r="M27" s="3" t="s">
        <v>32</v>
      </c>
    </row>
    <row r="28" ht="22.5" customHeight="1">
      <c r="A28" s="3">
        <v>2028844.0</v>
      </c>
      <c r="B28" s="3" t="s">
        <v>385</v>
      </c>
      <c r="C28" s="4">
        <v>5.515988098869E12</v>
      </c>
      <c r="D28" s="3" t="s">
        <v>89</v>
      </c>
      <c r="E28" s="5">
        <v>1240.51</v>
      </c>
      <c r="F28" s="6">
        <v>0.25</v>
      </c>
      <c r="G28" s="7">
        <f t="shared" si="1"/>
        <v>930.3825</v>
      </c>
      <c r="H28" s="3" t="s">
        <v>37</v>
      </c>
      <c r="I28" s="3" t="s">
        <v>338</v>
      </c>
      <c r="J28" s="3" t="s">
        <v>32</v>
      </c>
      <c r="K28" s="3" t="s">
        <v>171</v>
      </c>
      <c r="L28" s="3" t="s">
        <v>338</v>
      </c>
      <c r="M28" s="3" t="s">
        <v>32</v>
      </c>
    </row>
    <row r="29" ht="22.5" customHeight="1">
      <c r="A29" s="3">
        <v>2027956.0</v>
      </c>
      <c r="B29" s="3" t="s">
        <v>386</v>
      </c>
      <c r="C29" s="4">
        <v>5.515981129171E12</v>
      </c>
      <c r="D29" s="3" t="s">
        <v>58</v>
      </c>
      <c r="E29" s="5">
        <v>1708.8</v>
      </c>
      <c r="F29" s="6">
        <v>0.25</v>
      </c>
      <c r="G29" s="7">
        <f t="shared" si="1"/>
        <v>1281.6</v>
      </c>
      <c r="H29" s="3" t="s">
        <v>37</v>
      </c>
      <c r="I29" s="3" t="s">
        <v>387</v>
      </c>
      <c r="J29" s="3" t="s">
        <v>271</v>
      </c>
    </row>
    <row r="30" ht="22.5" customHeight="1">
      <c r="A30" s="3">
        <v>2027555.0</v>
      </c>
      <c r="B30" s="3" t="s">
        <v>388</v>
      </c>
      <c r="C30" s="4">
        <v>5.515991713777E12</v>
      </c>
      <c r="D30" s="3" t="s">
        <v>58</v>
      </c>
      <c r="E30" s="5">
        <v>3211.13</v>
      </c>
      <c r="F30" s="6">
        <v>0.25</v>
      </c>
      <c r="G30" s="7">
        <f t="shared" si="1"/>
        <v>2408.3475</v>
      </c>
      <c r="H30" s="3" t="s">
        <v>143</v>
      </c>
      <c r="I30" s="3" t="s">
        <v>50</v>
      </c>
      <c r="J30" s="3" t="s">
        <v>32</v>
      </c>
      <c r="K30" s="3" t="s">
        <v>165</v>
      </c>
      <c r="L30" s="3" t="s">
        <v>44</v>
      </c>
      <c r="M30" s="3" t="s">
        <v>32</v>
      </c>
    </row>
    <row r="31" ht="22.5" customHeight="1">
      <c r="A31" s="3">
        <v>2027140.0</v>
      </c>
      <c r="B31" s="3" t="s">
        <v>389</v>
      </c>
      <c r="C31" s="4">
        <v>5.51599272924E12</v>
      </c>
      <c r="D31" s="3" t="s">
        <v>184</v>
      </c>
      <c r="E31" s="5">
        <v>29138.17</v>
      </c>
      <c r="F31" s="6">
        <v>0.25</v>
      </c>
      <c r="G31" s="7">
        <f t="shared" si="1"/>
        <v>21853.6275</v>
      </c>
      <c r="H31" s="3" t="s">
        <v>35</v>
      </c>
      <c r="I31" s="3" t="s">
        <v>390</v>
      </c>
      <c r="J31" s="3" t="s">
        <v>271</v>
      </c>
      <c r="K31" s="3" t="s">
        <v>277</v>
      </c>
      <c r="L31" s="3" t="s">
        <v>135</v>
      </c>
      <c r="M31" s="3" t="s">
        <v>56</v>
      </c>
    </row>
    <row r="32" ht="22.5" customHeight="1">
      <c r="A32" s="3">
        <v>2026546.0</v>
      </c>
      <c r="B32" s="3" t="s">
        <v>391</v>
      </c>
      <c r="C32" s="4">
        <v>5.51599164249E12</v>
      </c>
      <c r="D32" s="3" t="s">
        <v>40</v>
      </c>
      <c r="E32" s="5">
        <v>1383.74</v>
      </c>
      <c r="F32" s="6">
        <v>0.25</v>
      </c>
      <c r="G32" s="7">
        <f t="shared" si="1"/>
        <v>1037.805</v>
      </c>
      <c r="H32" s="3" t="s">
        <v>59</v>
      </c>
      <c r="I32" s="3" t="s">
        <v>392</v>
      </c>
      <c r="J32" s="3" t="s">
        <v>61</v>
      </c>
      <c r="K32" s="3" t="s">
        <v>174</v>
      </c>
      <c r="L32" s="3" t="s">
        <v>126</v>
      </c>
      <c r="M32" s="3" t="s">
        <v>32</v>
      </c>
    </row>
    <row r="33" ht="22.5" customHeight="1">
      <c r="A33" s="3">
        <v>2026499.0</v>
      </c>
      <c r="B33" s="3" t="s">
        <v>393</v>
      </c>
      <c r="C33" s="4">
        <v>5.511968638358E12</v>
      </c>
      <c r="D33" s="3" t="s">
        <v>296</v>
      </c>
      <c r="E33" s="5">
        <v>2647.62</v>
      </c>
      <c r="F33" s="6">
        <v>0.25</v>
      </c>
      <c r="G33" s="7">
        <f t="shared" si="1"/>
        <v>1985.715</v>
      </c>
      <c r="H33" s="3" t="s">
        <v>82</v>
      </c>
      <c r="I33" s="3" t="s">
        <v>44</v>
      </c>
      <c r="J33" s="3" t="s">
        <v>32</v>
      </c>
      <c r="K33" s="3" t="s">
        <v>30</v>
      </c>
      <c r="L33" s="3" t="s">
        <v>31</v>
      </c>
      <c r="M33" s="3" t="s">
        <v>32</v>
      </c>
      <c r="N33" s="3" t="s">
        <v>108</v>
      </c>
      <c r="O33" s="3" t="s">
        <v>31</v>
      </c>
      <c r="P33" s="3" t="s">
        <v>56</v>
      </c>
      <c r="Q33" s="3" t="s">
        <v>36</v>
      </c>
      <c r="R33" s="3" t="s">
        <v>31</v>
      </c>
      <c r="S33" s="3" t="s">
        <v>32</v>
      </c>
      <c r="T33" s="3" t="s">
        <v>37</v>
      </c>
      <c r="U33" s="3" t="s">
        <v>298</v>
      </c>
      <c r="V33" s="3" t="s">
        <v>56</v>
      </c>
    </row>
    <row r="34" ht="22.5" customHeight="1">
      <c r="A34" s="3">
        <v>2026500.0</v>
      </c>
      <c r="B34" s="3" t="s">
        <v>393</v>
      </c>
      <c r="C34" s="4">
        <v>5.511968638358E12</v>
      </c>
      <c r="D34" s="3" t="s">
        <v>296</v>
      </c>
      <c r="E34" s="5">
        <v>946.64</v>
      </c>
      <c r="F34" s="6">
        <v>0.25</v>
      </c>
      <c r="G34" s="7">
        <f t="shared" si="1"/>
        <v>709.98</v>
      </c>
      <c r="H34" s="3" t="s">
        <v>82</v>
      </c>
      <c r="I34" s="3" t="s">
        <v>44</v>
      </c>
      <c r="J34" s="3" t="s">
        <v>32</v>
      </c>
      <c r="K34" s="3" t="s">
        <v>108</v>
      </c>
      <c r="L34" s="3" t="s">
        <v>31</v>
      </c>
      <c r="M34" s="3" t="s">
        <v>56</v>
      </c>
      <c r="N34" s="3" t="s">
        <v>36</v>
      </c>
      <c r="O34" s="3" t="s">
        <v>31</v>
      </c>
      <c r="P34" s="3" t="s">
        <v>32</v>
      </c>
      <c r="Q34" s="3" t="s">
        <v>37</v>
      </c>
      <c r="R34" s="3" t="s">
        <v>298</v>
      </c>
      <c r="S34" s="3" t="s">
        <v>56</v>
      </c>
    </row>
    <row r="35" ht="22.5" customHeight="1">
      <c r="A35" s="3">
        <v>2026484.0</v>
      </c>
      <c r="B35" s="3" t="s">
        <v>394</v>
      </c>
      <c r="C35" s="4">
        <v>5.515998150765E12</v>
      </c>
      <c r="D35" s="3" t="s">
        <v>296</v>
      </c>
      <c r="E35" s="5">
        <v>737.32</v>
      </c>
      <c r="F35" s="6">
        <v>0.25</v>
      </c>
      <c r="G35" s="7">
        <f t="shared" si="1"/>
        <v>552.99</v>
      </c>
      <c r="H35" s="3" t="s">
        <v>82</v>
      </c>
      <c r="I35" s="3" t="s">
        <v>44</v>
      </c>
      <c r="J35" s="3" t="s">
        <v>32</v>
      </c>
      <c r="K35" s="3" t="s">
        <v>108</v>
      </c>
      <c r="L35" s="3" t="s">
        <v>31</v>
      </c>
      <c r="M35" s="3" t="s">
        <v>32</v>
      </c>
      <c r="N35" s="3" t="s">
        <v>37</v>
      </c>
      <c r="O35" s="3" t="s">
        <v>395</v>
      </c>
      <c r="P35" s="3" t="s">
        <v>61</v>
      </c>
    </row>
    <row r="36" ht="22.5" customHeight="1">
      <c r="A36" s="3">
        <v>2026360.0</v>
      </c>
      <c r="B36" s="3" t="s">
        <v>396</v>
      </c>
      <c r="C36" s="4">
        <v>5.51597400682E12</v>
      </c>
      <c r="D36" s="3" t="s">
        <v>296</v>
      </c>
      <c r="E36" s="5">
        <v>405.89</v>
      </c>
      <c r="F36" s="6">
        <v>0.25</v>
      </c>
      <c r="G36" s="7">
        <f t="shared" si="1"/>
        <v>304.4175</v>
      </c>
      <c r="H36" s="3" t="s">
        <v>91</v>
      </c>
      <c r="I36" s="3" t="s">
        <v>397</v>
      </c>
      <c r="J36" s="3" t="s">
        <v>56</v>
      </c>
    </row>
    <row r="37" ht="22.5" customHeight="1">
      <c r="A37" s="3">
        <v>2025690.0</v>
      </c>
      <c r="B37" s="3" t="s">
        <v>398</v>
      </c>
      <c r="C37" s="4">
        <v>5.515997492537E12</v>
      </c>
      <c r="D37" s="3" t="s">
        <v>76</v>
      </c>
      <c r="E37" s="5">
        <v>9105.72</v>
      </c>
      <c r="F37" s="6">
        <v>0.25</v>
      </c>
      <c r="G37" s="7">
        <f t="shared" si="1"/>
        <v>6829.29</v>
      </c>
      <c r="H37" s="3" t="s">
        <v>132</v>
      </c>
      <c r="I37" s="3" t="s">
        <v>399</v>
      </c>
      <c r="J37" s="3" t="s">
        <v>56</v>
      </c>
      <c r="K37" s="3" t="s">
        <v>116</v>
      </c>
      <c r="L37" s="3" t="s">
        <v>400</v>
      </c>
      <c r="M37" s="3" t="s">
        <v>197</v>
      </c>
      <c r="N37" s="3" t="s">
        <v>48</v>
      </c>
      <c r="O37" s="3" t="s">
        <v>135</v>
      </c>
      <c r="P37" s="3" t="s">
        <v>56</v>
      </c>
      <c r="Q37" s="3" t="s">
        <v>37</v>
      </c>
      <c r="R37" s="3" t="s">
        <v>399</v>
      </c>
      <c r="S37" s="3" t="s">
        <v>56</v>
      </c>
    </row>
    <row r="38" ht="22.5" customHeight="1">
      <c r="A38" s="3">
        <v>2025593.0</v>
      </c>
      <c r="B38" s="3" t="s">
        <v>401</v>
      </c>
      <c r="C38" s="4">
        <v>5.515996700821E12</v>
      </c>
      <c r="D38" s="3" t="s">
        <v>81</v>
      </c>
      <c r="E38" s="5">
        <v>2688.4</v>
      </c>
      <c r="F38" s="6">
        <v>0.25</v>
      </c>
      <c r="G38" s="7">
        <f t="shared" si="1"/>
        <v>2016.3</v>
      </c>
      <c r="H38" s="3" t="s">
        <v>132</v>
      </c>
      <c r="I38" s="3" t="s">
        <v>104</v>
      </c>
      <c r="J38" s="3" t="s">
        <v>32</v>
      </c>
      <c r="K38" s="3" t="s">
        <v>59</v>
      </c>
      <c r="L38" s="3" t="s">
        <v>126</v>
      </c>
      <c r="M38" s="3" t="s">
        <v>32</v>
      </c>
      <c r="N38" s="3" t="s">
        <v>91</v>
      </c>
      <c r="O38" s="3" t="s">
        <v>376</v>
      </c>
      <c r="P38" s="3" t="s">
        <v>56</v>
      </c>
      <c r="Q38" s="3" t="s">
        <v>108</v>
      </c>
      <c r="R38" s="3" t="s">
        <v>31</v>
      </c>
      <c r="S38" s="3" t="s">
        <v>32</v>
      </c>
      <c r="T38" s="3" t="s">
        <v>37</v>
      </c>
      <c r="U38" s="3" t="s">
        <v>402</v>
      </c>
      <c r="V38" s="3" t="s">
        <v>61</v>
      </c>
    </row>
    <row r="39" ht="22.5" customHeight="1">
      <c r="A39" s="3">
        <v>2025284.0</v>
      </c>
      <c r="B39" s="3" t="s">
        <v>403</v>
      </c>
      <c r="C39" s="4">
        <v>5.515997297972E12</v>
      </c>
      <c r="D39" s="3" t="s">
        <v>81</v>
      </c>
      <c r="E39" s="5">
        <v>756.56</v>
      </c>
      <c r="F39" s="6">
        <v>0.25</v>
      </c>
      <c r="G39" s="7">
        <f t="shared" si="1"/>
        <v>567.42</v>
      </c>
      <c r="H39" s="3" t="s">
        <v>212</v>
      </c>
      <c r="I39" s="3" t="s">
        <v>404</v>
      </c>
      <c r="J39" s="3" t="s">
        <v>32</v>
      </c>
      <c r="K39" s="3" t="s">
        <v>37</v>
      </c>
      <c r="L39" s="3" t="s">
        <v>404</v>
      </c>
      <c r="M39" s="3" t="s">
        <v>32</v>
      </c>
    </row>
    <row r="40" ht="22.5" customHeight="1">
      <c r="A40" s="3">
        <v>2025209.0</v>
      </c>
      <c r="B40" s="3" t="s">
        <v>405</v>
      </c>
      <c r="C40" s="4">
        <v>5.515988140709E12</v>
      </c>
      <c r="D40" s="3" t="s">
        <v>81</v>
      </c>
      <c r="E40" s="5">
        <v>3403.53</v>
      </c>
      <c r="F40" s="6">
        <v>0.25</v>
      </c>
      <c r="G40" s="7">
        <f t="shared" si="1"/>
        <v>2552.6475</v>
      </c>
      <c r="H40" s="3" t="s">
        <v>83</v>
      </c>
      <c r="I40" s="3" t="s">
        <v>34</v>
      </c>
      <c r="J40" s="3" t="s">
        <v>32</v>
      </c>
      <c r="K40" s="3" t="s">
        <v>212</v>
      </c>
      <c r="L40" s="3" t="s">
        <v>34</v>
      </c>
      <c r="M40" s="3" t="s">
        <v>32</v>
      </c>
      <c r="N40" s="3" t="s">
        <v>85</v>
      </c>
      <c r="O40" s="3" t="s">
        <v>34</v>
      </c>
      <c r="P40" s="3" t="s">
        <v>32</v>
      </c>
      <c r="Q40" s="3" t="s">
        <v>108</v>
      </c>
      <c r="R40" s="3" t="s">
        <v>31</v>
      </c>
      <c r="S40" s="3" t="s">
        <v>32</v>
      </c>
      <c r="T40" s="3" t="s">
        <v>222</v>
      </c>
      <c r="U40" s="3" t="s">
        <v>34</v>
      </c>
      <c r="V40" s="3" t="s">
        <v>32</v>
      </c>
    </row>
    <row r="41" ht="22.5" customHeight="1">
      <c r="A41" s="3">
        <v>2025191.0</v>
      </c>
      <c r="B41" s="3" t="s">
        <v>406</v>
      </c>
      <c r="C41" s="4">
        <v>5.5159913402E12</v>
      </c>
      <c r="D41" s="3" t="s">
        <v>81</v>
      </c>
      <c r="E41" s="5">
        <v>832.5</v>
      </c>
      <c r="F41" s="6">
        <v>0.25</v>
      </c>
      <c r="G41" s="7">
        <f t="shared" si="1"/>
        <v>624.375</v>
      </c>
      <c r="H41" s="3" t="s">
        <v>108</v>
      </c>
      <c r="I41" s="3" t="s">
        <v>31</v>
      </c>
      <c r="J41" s="3" t="s">
        <v>32</v>
      </c>
      <c r="K41" s="3" t="s">
        <v>407</v>
      </c>
      <c r="L41" s="3" t="s">
        <v>31</v>
      </c>
      <c r="M41" s="3" t="s">
        <v>61</v>
      </c>
    </row>
    <row r="42" ht="22.5" customHeight="1">
      <c r="A42" s="3">
        <v>2025127.0</v>
      </c>
      <c r="B42" s="3" t="s">
        <v>408</v>
      </c>
      <c r="C42" s="4">
        <v>5.511914847393E12</v>
      </c>
      <c r="D42" s="3" t="s">
        <v>76</v>
      </c>
      <c r="E42" s="5">
        <v>2877.58</v>
      </c>
      <c r="F42" s="6">
        <v>0.25</v>
      </c>
      <c r="G42" s="7">
        <f t="shared" si="1"/>
        <v>2158.185</v>
      </c>
      <c r="H42" s="3" t="s">
        <v>83</v>
      </c>
      <c r="I42" s="3" t="s">
        <v>409</v>
      </c>
      <c r="J42" s="3" t="s">
        <v>56</v>
      </c>
      <c r="K42" s="3" t="s">
        <v>410</v>
      </c>
      <c r="L42" s="3" t="s">
        <v>131</v>
      </c>
      <c r="M42" s="3" t="s">
        <v>32</v>
      </c>
    </row>
    <row r="43" ht="22.5" customHeight="1">
      <c r="A43" s="3">
        <v>2023875.0</v>
      </c>
      <c r="B43" s="3" t="s">
        <v>411</v>
      </c>
      <c r="C43" s="4">
        <v>5.515998205347E12</v>
      </c>
      <c r="D43" s="3" t="s">
        <v>268</v>
      </c>
      <c r="E43" s="5">
        <v>762.19</v>
      </c>
      <c r="F43" s="6">
        <v>0.25</v>
      </c>
      <c r="G43" s="7">
        <f t="shared" si="1"/>
        <v>571.6425</v>
      </c>
      <c r="H43" s="3" t="s">
        <v>82</v>
      </c>
      <c r="I43" s="3" t="s">
        <v>135</v>
      </c>
      <c r="J43" s="3" t="s">
        <v>56</v>
      </c>
      <c r="K43" s="3" t="s">
        <v>36</v>
      </c>
      <c r="L43" s="3" t="s">
        <v>31</v>
      </c>
      <c r="M43" s="3" t="s">
        <v>32</v>
      </c>
      <c r="N43" s="3" t="s">
        <v>37</v>
      </c>
      <c r="O43" s="3" t="s">
        <v>412</v>
      </c>
      <c r="P43" s="3" t="s">
        <v>56</v>
      </c>
    </row>
    <row r="44" ht="22.5" customHeight="1">
      <c r="A44" s="3">
        <v>2023868.0</v>
      </c>
      <c r="B44" s="3" t="s">
        <v>413</v>
      </c>
      <c r="C44" s="4">
        <v>5.51599720961E12</v>
      </c>
      <c r="D44" s="3" t="s">
        <v>268</v>
      </c>
      <c r="E44" s="5">
        <v>6002.72</v>
      </c>
      <c r="F44" s="6">
        <v>0.25</v>
      </c>
      <c r="G44" s="7">
        <f t="shared" si="1"/>
        <v>4502.04</v>
      </c>
      <c r="H44" s="3" t="s">
        <v>33</v>
      </c>
      <c r="I44" s="3" t="s">
        <v>414</v>
      </c>
      <c r="J44" s="3" t="s">
        <v>56</v>
      </c>
      <c r="K44" s="3" t="s">
        <v>91</v>
      </c>
      <c r="L44" s="3" t="s">
        <v>414</v>
      </c>
      <c r="M44" s="3" t="s">
        <v>56</v>
      </c>
      <c r="N44" s="3" t="s">
        <v>35</v>
      </c>
      <c r="O44" s="3" t="s">
        <v>414</v>
      </c>
      <c r="P44" s="3" t="s">
        <v>56</v>
      </c>
      <c r="Q44" s="3" t="s">
        <v>37</v>
      </c>
      <c r="R44" s="3" t="s">
        <v>415</v>
      </c>
      <c r="S44" s="3" t="s">
        <v>56</v>
      </c>
    </row>
    <row r="45" ht="22.5" customHeight="1">
      <c r="A45" s="3">
        <v>2023732.0</v>
      </c>
      <c r="B45" s="3" t="s">
        <v>416</v>
      </c>
      <c r="C45" s="4">
        <v>5.515996163622E12</v>
      </c>
      <c r="D45" s="3" t="s">
        <v>58</v>
      </c>
      <c r="E45" s="5">
        <v>762.19</v>
      </c>
      <c r="F45" s="6">
        <v>0.25</v>
      </c>
      <c r="G45" s="7">
        <f t="shared" si="1"/>
        <v>571.6425</v>
      </c>
      <c r="H45" s="3" t="s">
        <v>82</v>
      </c>
      <c r="I45" s="3" t="s">
        <v>135</v>
      </c>
      <c r="J45" s="3" t="s">
        <v>56</v>
      </c>
      <c r="K45" s="3" t="s">
        <v>36</v>
      </c>
      <c r="L45" s="3" t="s">
        <v>31</v>
      </c>
      <c r="M45" s="3" t="s">
        <v>32</v>
      </c>
      <c r="N45" s="3" t="s">
        <v>37</v>
      </c>
      <c r="O45" s="3" t="s">
        <v>417</v>
      </c>
      <c r="P45" s="3" t="s">
        <v>56</v>
      </c>
    </row>
    <row r="46" ht="22.5" customHeight="1">
      <c r="A46" s="3">
        <v>2022778.0</v>
      </c>
      <c r="B46" s="3" t="s">
        <v>418</v>
      </c>
      <c r="C46" s="4">
        <v>5.515974011288E12</v>
      </c>
      <c r="D46" s="3" t="s">
        <v>40</v>
      </c>
      <c r="E46" s="5">
        <v>2238.36</v>
      </c>
      <c r="F46" s="6">
        <v>0.25</v>
      </c>
      <c r="G46" s="7">
        <f t="shared" si="1"/>
        <v>1678.77</v>
      </c>
      <c r="H46" s="3" t="s">
        <v>87</v>
      </c>
      <c r="I46" s="3" t="s">
        <v>31</v>
      </c>
      <c r="J46" s="3" t="s">
        <v>32</v>
      </c>
      <c r="K46" s="3" t="s">
        <v>30</v>
      </c>
      <c r="L46" s="3" t="s">
        <v>31</v>
      </c>
      <c r="M46" s="3" t="s">
        <v>32</v>
      </c>
      <c r="N46" s="3" t="s">
        <v>150</v>
      </c>
      <c r="O46" s="3" t="s">
        <v>31</v>
      </c>
      <c r="P46" s="3" t="s">
        <v>32</v>
      </c>
    </row>
    <row r="47" ht="22.5" customHeight="1">
      <c r="A47" s="3">
        <v>2022588.0</v>
      </c>
      <c r="B47" s="3" t="s">
        <v>419</v>
      </c>
      <c r="C47" s="4">
        <v>5.515997667312E12</v>
      </c>
      <c r="D47" s="3" t="s">
        <v>184</v>
      </c>
      <c r="E47" s="5">
        <v>18438.26</v>
      </c>
      <c r="F47" s="6">
        <v>0.25</v>
      </c>
      <c r="G47" s="7">
        <f t="shared" si="1"/>
        <v>13828.695</v>
      </c>
      <c r="H47" s="3" t="s">
        <v>252</v>
      </c>
      <c r="I47" s="3" t="s">
        <v>400</v>
      </c>
      <c r="J47" s="3" t="s">
        <v>197</v>
      </c>
      <c r="K47" s="3" t="s">
        <v>206</v>
      </c>
      <c r="L47" s="3" t="s">
        <v>31</v>
      </c>
      <c r="M47" s="3" t="s">
        <v>32</v>
      </c>
      <c r="N47" s="3" t="s">
        <v>37</v>
      </c>
      <c r="O47" s="3" t="s">
        <v>420</v>
      </c>
      <c r="P47" s="3" t="s">
        <v>228</v>
      </c>
    </row>
    <row r="48" ht="22.5" customHeight="1">
      <c r="A48" s="3">
        <v>2022107.0</v>
      </c>
      <c r="B48" s="3" t="s">
        <v>421</v>
      </c>
      <c r="C48" s="4">
        <v>5.51599703725E12</v>
      </c>
      <c r="D48" s="3" t="s">
        <v>296</v>
      </c>
      <c r="E48" s="5">
        <v>309.9</v>
      </c>
      <c r="F48" s="6">
        <v>0.25</v>
      </c>
      <c r="G48" s="7">
        <f t="shared" si="1"/>
        <v>232.425</v>
      </c>
      <c r="H48" s="3" t="s">
        <v>37</v>
      </c>
      <c r="I48" s="3" t="s">
        <v>397</v>
      </c>
      <c r="J48" s="3" t="s">
        <v>56</v>
      </c>
    </row>
    <row r="49" ht="22.5" customHeight="1">
      <c r="A49" s="3">
        <v>2022019.0</v>
      </c>
      <c r="B49" s="3" t="s">
        <v>422</v>
      </c>
      <c r="C49" s="4">
        <v>5.515991175492E12</v>
      </c>
      <c r="D49" s="3" t="s">
        <v>296</v>
      </c>
      <c r="E49" s="5">
        <v>1962.0</v>
      </c>
      <c r="F49" s="6">
        <v>0.25</v>
      </c>
      <c r="G49" s="7">
        <f t="shared" si="1"/>
        <v>1471.5</v>
      </c>
      <c r="H49" s="3" t="s">
        <v>108</v>
      </c>
      <c r="I49" s="3" t="s">
        <v>31</v>
      </c>
      <c r="J49" s="3" t="s">
        <v>32</v>
      </c>
      <c r="K49" s="3" t="s">
        <v>36</v>
      </c>
      <c r="L49" s="3" t="s">
        <v>31</v>
      </c>
      <c r="M49" s="3" t="s">
        <v>32</v>
      </c>
      <c r="N49" s="3" t="s">
        <v>37</v>
      </c>
      <c r="O49" s="3" t="s">
        <v>423</v>
      </c>
      <c r="P49" s="3" t="s">
        <v>254</v>
      </c>
    </row>
    <row r="50" ht="22.5" customHeight="1">
      <c r="A50" s="3">
        <v>2021818.0</v>
      </c>
      <c r="B50" s="3" t="s">
        <v>424</v>
      </c>
      <c r="C50" s="4">
        <v>5.515996150548E12</v>
      </c>
      <c r="D50" s="3" t="s">
        <v>40</v>
      </c>
      <c r="E50" s="5">
        <v>6660.14</v>
      </c>
      <c r="F50" s="6">
        <v>0.25</v>
      </c>
      <c r="G50" s="7">
        <f t="shared" si="1"/>
        <v>4995.105</v>
      </c>
      <c r="H50" s="3" t="s">
        <v>33</v>
      </c>
      <c r="I50" s="3" t="s">
        <v>425</v>
      </c>
      <c r="J50" s="3" t="s">
        <v>56</v>
      </c>
      <c r="K50" s="3" t="s">
        <v>35</v>
      </c>
      <c r="L50" s="3" t="s">
        <v>425</v>
      </c>
      <c r="M50" s="3" t="s">
        <v>56</v>
      </c>
      <c r="N50" s="3" t="s">
        <v>222</v>
      </c>
      <c r="O50" s="3" t="s">
        <v>425</v>
      </c>
      <c r="P50" s="3" t="s">
        <v>56</v>
      </c>
    </row>
    <row r="51" ht="22.5" customHeight="1">
      <c r="A51" s="3">
        <v>2021418.0</v>
      </c>
      <c r="B51" s="3" t="s">
        <v>426</v>
      </c>
      <c r="C51" s="4">
        <v>5.515997296222E12</v>
      </c>
      <c r="D51" s="3" t="s">
        <v>296</v>
      </c>
      <c r="E51" s="5">
        <v>4074.76</v>
      </c>
      <c r="F51" s="6">
        <v>0.25</v>
      </c>
      <c r="G51" s="7">
        <f t="shared" si="1"/>
        <v>3056.07</v>
      </c>
      <c r="H51" s="3" t="s">
        <v>82</v>
      </c>
      <c r="I51" s="3" t="s">
        <v>44</v>
      </c>
      <c r="J51" s="3" t="s">
        <v>32</v>
      </c>
      <c r="K51" s="3" t="s">
        <v>212</v>
      </c>
      <c r="L51" s="3" t="s">
        <v>140</v>
      </c>
      <c r="M51" s="3" t="s">
        <v>32</v>
      </c>
      <c r="N51" s="3" t="s">
        <v>108</v>
      </c>
      <c r="O51" s="3" t="s">
        <v>31</v>
      </c>
      <c r="P51" s="3" t="s">
        <v>32</v>
      </c>
      <c r="Q51" s="3" t="s">
        <v>48</v>
      </c>
      <c r="R51" s="3" t="s">
        <v>44</v>
      </c>
      <c r="S51" s="3" t="s">
        <v>32</v>
      </c>
      <c r="T51" s="3" t="s">
        <v>36</v>
      </c>
      <c r="U51" s="3" t="s">
        <v>31</v>
      </c>
      <c r="V51" s="3" t="s">
        <v>32</v>
      </c>
      <c r="W51" s="3" t="s">
        <v>37</v>
      </c>
      <c r="X51" s="3" t="s">
        <v>427</v>
      </c>
      <c r="Y51" s="3" t="s">
        <v>56</v>
      </c>
    </row>
    <row r="52" ht="22.5" customHeight="1">
      <c r="A52" s="3">
        <v>2020795.0</v>
      </c>
      <c r="B52" s="3" t="s">
        <v>428</v>
      </c>
      <c r="C52" s="4">
        <v>5.515996753949E12</v>
      </c>
      <c r="D52" s="3" t="s">
        <v>81</v>
      </c>
      <c r="E52" s="5">
        <v>150.0</v>
      </c>
      <c r="F52" s="6">
        <v>0.25</v>
      </c>
      <c r="G52" s="7">
        <f t="shared" si="1"/>
        <v>112.5</v>
      </c>
      <c r="H52" s="3" t="s">
        <v>37</v>
      </c>
      <c r="I52" s="3" t="s">
        <v>139</v>
      </c>
      <c r="J52" s="3" t="s">
        <v>32</v>
      </c>
    </row>
    <row r="53" ht="22.5" customHeight="1">
      <c r="A53" s="3">
        <v>2020713.0</v>
      </c>
      <c r="B53" s="3" t="s">
        <v>429</v>
      </c>
      <c r="C53" s="4">
        <v>5.515991881679E12</v>
      </c>
      <c r="D53" s="3" t="s">
        <v>81</v>
      </c>
      <c r="E53" s="5">
        <v>4690.15</v>
      </c>
      <c r="F53" s="6">
        <v>0.25</v>
      </c>
      <c r="G53" s="7">
        <f t="shared" si="1"/>
        <v>3517.6125</v>
      </c>
      <c r="H53" s="3" t="s">
        <v>41</v>
      </c>
      <c r="I53" s="3" t="s">
        <v>31</v>
      </c>
      <c r="J53" s="3" t="s">
        <v>32</v>
      </c>
    </row>
    <row r="54" ht="22.5" customHeight="1">
      <c r="A54" s="3">
        <v>2020697.0</v>
      </c>
      <c r="B54" s="3" t="s">
        <v>430</v>
      </c>
      <c r="C54" s="4">
        <v>5.515981573391E12</v>
      </c>
      <c r="D54" s="3" t="s">
        <v>173</v>
      </c>
      <c r="E54" s="5">
        <v>5919.3</v>
      </c>
      <c r="F54" s="6">
        <v>0.25</v>
      </c>
      <c r="G54" s="7">
        <f t="shared" si="1"/>
        <v>4439.475</v>
      </c>
      <c r="H54" s="3" t="s">
        <v>132</v>
      </c>
      <c r="I54" s="3" t="s">
        <v>431</v>
      </c>
      <c r="J54" s="3" t="s">
        <v>32</v>
      </c>
      <c r="K54" s="3" t="s">
        <v>37</v>
      </c>
      <c r="L54" s="3" t="s">
        <v>431</v>
      </c>
      <c r="M54" s="3" t="s">
        <v>32</v>
      </c>
      <c r="N54" s="3" t="s">
        <v>41</v>
      </c>
      <c r="O54" s="3" t="s">
        <v>31</v>
      </c>
      <c r="P54" s="3" t="s">
        <v>32</v>
      </c>
    </row>
    <row r="55" ht="22.5" customHeight="1">
      <c r="A55" s="3">
        <v>2020619.0</v>
      </c>
      <c r="B55" s="3" t="s">
        <v>432</v>
      </c>
      <c r="C55" s="4">
        <v>5.515981301605E12</v>
      </c>
      <c r="D55" s="3" t="s">
        <v>89</v>
      </c>
      <c r="E55" s="5">
        <v>1520.03</v>
      </c>
      <c r="F55" s="6">
        <v>0.25</v>
      </c>
      <c r="G55" s="7">
        <f t="shared" si="1"/>
        <v>1140.0225</v>
      </c>
      <c r="H55" s="3" t="s">
        <v>130</v>
      </c>
      <c r="I55" s="3" t="s">
        <v>92</v>
      </c>
      <c r="J55" s="3" t="s">
        <v>32</v>
      </c>
      <c r="K55" s="3" t="s">
        <v>133</v>
      </c>
      <c r="L55" s="3" t="s">
        <v>92</v>
      </c>
      <c r="M55" s="3" t="s">
        <v>32</v>
      </c>
    </row>
    <row r="56" ht="22.5" customHeight="1">
      <c r="A56" s="3">
        <v>2020339.0</v>
      </c>
      <c r="B56" s="3" t="s">
        <v>433</v>
      </c>
      <c r="C56" s="4">
        <v>5.515991929735E12</v>
      </c>
      <c r="D56" s="3" t="s">
        <v>29</v>
      </c>
      <c r="E56" s="5">
        <v>300.0</v>
      </c>
      <c r="F56" s="6">
        <v>0.25</v>
      </c>
      <c r="G56" s="7">
        <f t="shared" si="1"/>
        <v>225</v>
      </c>
      <c r="H56" s="3" t="s">
        <v>37</v>
      </c>
      <c r="I56" s="3" t="s">
        <v>145</v>
      </c>
      <c r="J56" s="3" t="s">
        <v>56</v>
      </c>
    </row>
    <row r="57" ht="22.5" customHeight="1">
      <c r="A57" s="3">
        <v>2019899.0</v>
      </c>
      <c r="B57" s="3" t="s">
        <v>434</v>
      </c>
      <c r="C57" s="4">
        <v>5.51599279E12</v>
      </c>
      <c r="D57" s="3" t="s">
        <v>155</v>
      </c>
      <c r="E57" s="5">
        <v>3211.13</v>
      </c>
      <c r="F57" s="6">
        <v>0.25</v>
      </c>
      <c r="G57" s="7">
        <f t="shared" si="1"/>
        <v>2408.3475</v>
      </c>
      <c r="H57" s="3" t="s">
        <v>143</v>
      </c>
      <c r="I57" s="3" t="s">
        <v>50</v>
      </c>
      <c r="J57" s="3" t="s">
        <v>32</v>
      </c>
      <c r="K57" s="3" t="s">
        <v>165</v>
      </c>
      <c r="L57" s="3" t="s">
        <v>44</v>
      </c>
      <c r="M57" s="3" t="s">
        <v>32</v>
      </c>
    </row>
    <row r="58" ht="22.5" customHeight="1">
      <c r="A58" s="3">
        <v>2019727.0</v>
      </c>
      <c r="B58" s="3" t="s">
        <v>435</v>
      </c>
      <c r="C58" s="4">
        <v>5.515981288146E12</v>
      </c>
      <c r="D58" s="3" t="s">
        <v>268</v>
      </c>
      <c r="E58" s="5">
        <v>450.0</v>
      </c>
      <c r="F58" s="6">
        <v>0.25</v>
      </c>
      <c r="G58" s="7">
        <f t="shared" si="1"/>
        <v>337.5</v>
      </c>
      <c r="H58" s="3" t="s">
        <v>37</v>
      </c>
      <c r="I58" s="3" t="s">
        <v>436</v>
      </c>
      <c r="J58" s="3" t="s">
        <v>61</v>
      </c>
    </row>
    <row r="59" ht="22.5" customHeight="1">
      <c r="A59" s="3">
        <v>2019207.0</v>
      </c>
      <c r="B59" s="3" t="s">
        <v>437</v>
      </c>
      <c r="C59" s="4">
        <v>5.515998524767E12</v>
      </c>
      <c r="D59" s="3" t="s">
        <v>58</v>
      </c>
      <c r="E59" s="5">
        <v>9750.62</v>
      </c>
      <c r="F59" s="6">
        <v>0.25</v>
      </c>
      <c r="G59" s="7">
        <f t="shared" si="1"/>
        <v>7312.965</v>
      </c>
      <c r="H59" s="3" t="s">
        <v>33</v>
      </c>
      <c r="I59" s="3" t="s">
        <v>106</v>
      </c>
      <c r="J59" s="3" t="s">
        <v>56</v>
      </c>
      <c r="K59" s="3" t="s">
        <v>59</v>
      </c>
      <c r="L59" s="3" t="s">
        <v>392</v>
      </c>
      <c r="M59" s="3" t="s">
        <v>61</v>
      </c>
      <c r="N59" s="3" t="s">
        <v>91</v>
      </c>
      <c r="O59" s="3" t="s">
        <v>74</v>
      </c>
      <c r="P59" s="3" t="s">
        <v>32</v>
      </c>
      <c r="Q59" s="3" t="s">
        <v>35</v>
      </c>
      <c r="R59" s="3" t="s">
        <v>106</v>
      </c>
      <c r="S59" s="3" t="s">
        <v>56</v>
      </c>
      <c r="T59" s="3" t="s">
        <v>108</v>
      </c>
      <c r="U59" s="3" t="s">
        <v>31</v>
      </c>
      <c r="V59" s="3" t="s">
        <v>56</v>
      </c>
      <c r="W59" s="3" t="s">
        <v>95</v>
      </c>
      <c r="X59" s="3" t="s">
        <v>44</v>
      </c>
      <c r="Y59" s="3" t="s">
        <v>32</v>
      </c>
      <c r="Z59" s="3" t="s">
        <v>36</v>
      </c>
      <c r="AA59" s="3" t="s">
        <v>31</v>
      </c>
      <c r="AB59" s="3" t="s">
        <v>32</v>
      </c>
      <c r="AC59" s="3" t="s">
        <v>37</v>
      </c>
      <c r="AD59" s="3" t="s">
        <v>438</v>
      </c>
      <c r="AE59" s="3" t="s">
        <v>186</v>
      </c>
    </row>
    <row r="60" ht="22.5" customHeight="1">
      <c r="A60" s="3">
        <v>2019200.0</v>
      </c>
      <c r="B60" s="3" t="s">
        <v>437</v>
      </c>
      <c r="C60" s="4">
        <v>5.515998524767E12</v>
      </c>
      <c r="D60" s="3" t="s">
        <v>58</v>
      </c>
      <c r="E60" s="5">
        <v>1248.7</v>
      </c>
      <c r="F60" s="6">
        <v>0.25</v>
      </c>
      <c r="G60" s="7">
        <f t="shared" si="1"/>
        <v>936.525</v>
      </c>
      <c r="H60" s="3" t="s">
        <v>59</v>
      </c>
      <c r="I60" s="3" t="s">
        <v>392</v>
      </c>
      <c r="J60" s="3" t="s">
        <v>61</v>
      </c>
    </row>
    <row r="61" ht="22.5" customHeight="1">
      <c r="A61" s="3">
        <v>2019130.0</v>
      </c>
      <c r="B61" s="3" t="s">
        <v>439</v>
      </c>
      <c r="C61" s="4">
        <v>5.515997670905E12</v>
      </c>
      <c r="D61" s="3" t="s">
        <v>58</v>
      </c>
      <c r="E61" s="5">
        <v>2006.6</v>
      </c>
      <c r="F61" s="6">
        <v>0.25</v>
      </c>
      <c r="G61" s="7">
        <f t="shared" si="1"/>
        <v>1504.95</v>
      </c>
      <c r="H61" s="3" t="s">
        <v>174</v>
      </c>
      <c r="I61" s="3" t="s">
        <v>440</v>
      </c>
      <c r="J61" s="3" t="s">
        <v>32</v>
      </c>
      <c r="K61" s="3" t="s">
        <v>108</v>
      </c>
      <c r="L61" s="3" t="s">
        <v>31</v>
      </c>
      <c r="M61" s="3" t="s">
        <v>32</v>
      </c>
      <c r="N61" s="3" t="s">
        <v>36</v>
      </c>
      <c r="O61" s="3" t="s">
        <v>31</v>
      </c>
      <c r="P61" s="3" t="s">
        <v>32</v>
      </c>
      <c r="Q61" s="3" t="s">
        <v>37</v>
      </c>
      <c r="R61" s="3" t="s">
        <v>441</v>
      </c>
      <c r="S61" s="3" t="s">
        <v>46</v>
      </c>
    </row>
    <row r="62" ht="22.5" customHeight="1">
      <c r="A62" s="3">
        <v>2019030.0</v>
      </c>
      <c r="B62" s="3" t="s">
        <v>442</v>
      </c>
      <c r="C62" s="4">
        <v>5.51599150703E12</v>
      </c>
      <c r="D62" s="3" t="s">
        <v>58</v>
      </c>
      <c r="E62" s="5">
        <v>670.06</v>
      </c>
      <c r="F62" s="6">
        <v>0.25</v>
      </c>
      <c r="G62" s="7">
        <f t="shared" si="1"/>
        <v>502.545</v>
      </c>
      <c r="H62" s="3" t="s">
        <v>37</v>
      </c>
      <c r="I62" s="3" t="s">
        <v>443</v>
      </c>
      <c r="J62" s="3" t="s">
        <v>70</v>
      </c>
    </row>
    <row r="63" ht="22.5" customHeight="1">
      <c r="A63" s="3">
        <v>2018816.0</v>
      </c>
      <c r="B63" s="3" t="s">
        <v>444</v>
      </c>
      <c r="C63" s="4">
        <v>5.515998452389E12</v>
      </c>
      <c r="D63" s="3" t="s">
        <v>58</v>
      </c>
      <c r="E63" s="5">
        <v>11893.14</v>
      </c>
      <c r="F63" s="6">
        <v>0.25</v>
      </c>
      <c r="G63" s="7">
        <f t="shared" si="1"/>
        <v>8919.855</v>
      </c>
      <c r="H63" s="3" t="s">
        <v>35</v>
      </c>
      <c r="I63" s="3" t="s">
        <v>194</v>
      </c>
      <c r="J63" s="3" t="s">
        <v>70</v>
      </c>
      <c r="K63" s="3" t="s">
        <v>445</v>
      </c>
      <c r="L63" s="3" t="s">
        <v>44</v>
      </c>
      <c r="M63" s="3" t="s">
        <v>32</v>
      </c>
    </row>
    <row r="64" ht="22.5" customHeight="1">
      <c r="A64" s="3">
        <v>2017942.0</v>
      </c>
      <c r="B64" s="3" t="s">
        <v>446</v>
      </c>
      <c r="C64" s="4">
        <v>5.515996562701E12</v>
      </c>
      <c r="D64" s="3" t="s">
        <v>40</v>
      </c>
      <c r="E64" s="5">
        <v>3970.4</v>
      </c>
      <c r="F64" s="6">
        <v>0.25</v>
      </c>
      <c r="G64" s="7">
        <f t="shared" si="1"/>
        <v>2977.8</v>
      </c>
      <c r="H64" s="3" t="s">
        <v>82</v>
      </c>
      <c r="I64" s="3" t="s">
        <v>135</v>
      </c>
      <c r="J64" s="3" t="s">
        <v>56</v>
      </c>
      <c r="K64" s="3" t="s">
        <v>370</v>
      </c>
      <c r="L64" s="3" t="s">
        <v>140</v>
      </c>
      <c r="M64" s="3" t="s">
        <v>32</v>
      </c>
      <c r="N64" s="3" t="s">
        <v>59</v>
      </c>
      <c r="O64" s="3" t="s">
        <v>447</v>
      </c>
      <c r="P64" s="3" t="s">
        <v>56</v>
      </c>
      <c r="Q64" s="3" t="s">
        <v>116</v>
      </c>
      <c r="R64" s="3" t="s">
        <v>448</v>
      </c>
      <c r="S64" s="3" t="s">
        <v>56</v>
      </c>
      <c r="T64" s="3" t="s">
        <v>108</v>
      </c>
      <c r="U64" s="3" t="s">
        <v>31</v>
      </c>
      <c r="V64" s="3" t="s">
        <v>32</v>
      </c>
      <c r="W64" s="3" t="s">
        <v>36</v>
      </c>
      <c r="X64" s="3" t="s">
        <v>31</v>
      </c>
      <c r="Y64" s="3" t="s">
        <v>32</v>
      </c>
      <c r="Z64" s="3" t="s">
        <v>37</v>
      </c>
      <c r="AA64" s="3" t="s">
        <v>449</v>
      </c>
      <c r="AB64" s="3" t="s">
        <v>61</v>
      </c>
    </row>
    <row r="65" ht="22.5" customHeight="1">
      <c r="A65" s="3">
        <v>2017505.0</v>
      </c>
      <c r="B65" s="3" t="s">
        <v>450</v>
      </c>
      <c r="C65" s="4">
        <v>5.515988102259E12</v>
      </c>
      <c r="D65" s="3" t="s">
        <v>29</v>
      </c>
      <c r="E65" s="5">
        <v>7338.1</v>
      </c>
      <c r="F65" s="6">
        <v>0.25</v>
      </c>
      <c r="G65" s="7">
        <f t="shared" si="1"/>
        <v>5503.575</v>
      </c>
      <c r="H65" s="3" t="s">
        <v>301</v>
      </c>
      <c r="I65" s="3" t="s">
        <v>31</v>
      </c>
      <c r="J65" s="3" t="s">
        <v>32</v>
      </c>
    </row>
    <row r="66" ht="22.5" customHeight="1">
      <c r="A66" s="3">
        <v>2017501.0</v>
      </c>
      <c r="B66" s="3" t="s">
        <v>450</v>
      </c>
      <c r="C66" s="4">
        <v>5.515988102259E12</v>
      </c>
      <c r="D66" s="3" t="s">
        <v>29</v>
      </c>
      <c r="E66" s="5">
        <v>908.63</v>
      </c>
      <c r="F66" s="6">
        <v>0.25</v>
      </c>
      <c r="G66" s="7">
        <f t="shared" si="1"/>
        <v>681.4725</v>
      </c>
      <c r="H66" s="3" t="s">
        <v>59</v>
      </c>
      <c r="I66" s="3" t="s">
        <v>298</v>
      </c>
      <c r="J66" s="3" t="s">
        <v>56</v>
      </c>
      <c r="K66" s="3" t="s">
        <v>36</v>
      </c>
      <c r="L66" s="3" t="s">
        <v>31</v>
      </c>
      <c r="M66" s="3" t="s">
        <v>32</v>
      </c>
      <c r="N66" s="3" t="s">
        <v>37</v>
      </c>
      <c r="O66" s="3" t="s">
        <v>104</v>
      </c>
      <c r="P66" s="3" t="s">
        <v>32</v>
      </c>
    </row>
    <row r="67" ht="22.5" customHeight="1">
      <c r="A67" s="29"/>
      <c r="B67" s="29"/>
      <c r="C67" s="30"/>
      <c r="D67" s="16" t="s">
        <v>238</v>
      </c>
      <c r="E67" s="17">
        <f>SUM(E2:E66)</f>
        <v>252483.88</v>
      </c>
      <c r="F67" s="18" t="s">
        <v>239</v>
      </c>
      <c r="G67" s="19">
        <f>SUM(G2:G66)</f>
        <v>189362.91</v>
      </c>
      <c r="H67" s="29"/>
      <c r="I67" s="29"/>
      <c r="J67" s="29"/>
      <c r="K67" s="29"/>
      <c r="L67" s="29"/>
      <c r="M67" s="29"/>
      <c r="N67" s="29"/>
      <c r="O67" s="29"/>
      <c r="P67" s="29"/>
      <c r="Q67" s="29"/>
      <c r="R67" s="29"/>
      <c r="S67" s="29"/>
      <c r="T67" s="29"/>
      <c r="U67" s="29"/>
      <c r="V67" s="29"/>
      <c r="W67" s="29"/>
      <c r="X67" s="29"/>
      <c r="Y67" s="29"/>
      <c r="Z67" s="29"/>
      <c r="AA67" s="29"/>
      <c r="AB67" s="29"/>
      <c r="AC67" s="29"/>
      <c r="AD67" s="29"/>
      <c r="AE67" s="29"/>
    </row>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dataValidations>
    <dataValidation type="custom" allowBlank="1" showDropDown="1" sqref="E2:G67">
      <formula1>AND(ISNUMBER(E2),(NOT(OR(NOT(ISERROR(DATEVALUE(E2))), AND(ISNUMBER(E2), LEFT(CELL("format", E2))="D")))))</formula1>
    </dataValidation>
  </dataValidations>
  <printOptions/>
  <pageMargins bottom="1.0" footer="0.0" header="0.0" left="0.75" right="0.75" top="1.0"/>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5.43"/>
    <col customWidth="1" min="2" max="2" width="35.57"/>
    <col customWidth="1" min="3" max="3" width="16.71"/>
    <col customWidth="1" min="4" max="4" width="38.71"/>
    <col customWidth="1" min="5" max="5" width="19.29"/>
    <col customWidth="1" min="6" max="6" width="17.86"/>
    <col customWidth="1" min="7" max="7" width="18.43"/>
    <col customWidth="1" min="8" max="9" width="43.0"/>
    <col customWidth="1" min="10" max="10" width="18.0"/>
    <col customWidth="1" min="11" max="12" width="43.0"/>
    <col customWidth="1" min="13" max="13" width="18.0"/>
    <col customWidth="1" min="14" max="14" width="43.0"/>
    <col customWidth="1" min="15" max="15" width="21.0"/>
    <col customWidth="1" min="16" max="16" width="18.0"/>
    <col customWidth="1" min="17" max="17" width="38.43"/>
    <col customWidth="1" min="18" max="18" width="21.0"/>
    <col customWidth="1" min="19" max="19" width="18.0"/>
    <col customWidth="1" min="20" max="20" width="25.86"/>
    <col customWidth="1" min="21" max="21" width="21.0"/>
    <col customWidth="1" min="22" max="22" width="18.0"/>
    <col customWidth="1" min="23" max="23" width="27.71"/>
    <col customWidth="1" min="24" max="24" width="21.0"/>
    <col customWidth="1" min="25" max="25" width="18.0"/>
    <col customWidth="1" min="26" max="26" width="18.14"/>
    <col customWidth="1" min="27" max="27" width="21.0"/>
    <col customWidth="1" min="28" max="28" width="18.0"/>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ht="22.5" customHeight="1">
      <c r="A2" s="3">
        <v>2049594.0</v>
      </c>
      <c r="B2" s="3" t="s">
        <v>451</v>
      </c>
      <c r="D2" s="3" t="s">
        <v>89</v>
      </c>
      <c r="E2" s="5">
        <v>1200.04</v>
      </c>
      <c r="F2" s="31" t="s">
        <v>452</v>
      </c>
      <c r="G2" s="7">
        <f t="shared" ref="G2:G53" si="1">E2*(1-F2)</f>
        <v>900.03</v>
      </c>
      <c r="H2" s="3" t="s">
        <v>165</v>
      </c>
      <c r="I2" s="3" t="s">
        <v>50</v>
      </c>
      <c r="J2" s="3" t="s">
        <v>32</v>
      </c>
    </row>
    <row r="3" ht="22.5" customHeight="1">
      <c r="A3" s="3">
        <v>2049543.0</v>
      </c>
      <c r="B3" s="3" t="s">
        <v>453</v>
      </c>
      <c r="C3" s="3" t="s">
        <v>454</v>
      </c>
      <c r="D3" s="3" t="s">
        <v>296</v>
      </c>
      <c r="E3" s="5">
        <v>948.85</v>
      </c>
      <c r="F3" s="31" t="s">
        <v>452</v>
      </c>
      <c r="G3" s="7">
        <f t="shared" si="1"/>
        <v>711.6375</v>
      </c>
      <c r="H3" s="3" t="s">
        <v>59</v>
      </c>
      <c r="I3" s="3" t="s">
        <v>455</v>
      </c>
      <c r="J3" s="3" t="s">
        <v>61</v>
      </c>
    </row>
    <row r="4" ht="22.5" customHeight="1">
      <c r="A4" s="3">
        <v>2049521.0</v>
      </c>
      <c r="B4" s="3" t="s">
        <v>456</v>
      </c>
      <c r="C4" s="3" t="s">
        <v>457</v>
      </c>
      <c r="D4" s="3" t="s">
        <v>89</v>
      </c>
      <c r="E4" s="5">
        <v>366.9</v>
      </c>
      <c r="F4" s="31" t="s">
        <v>452</v>
      </c>
      <c r="G4" s="7">
        <f t="shared" si="1"/>
        <v>275.175</v>
      </c>
      <c r="H4" s="3" t="s">
        <v>168</v>
      </c>
      <c r="I4" s="3" t="s">
        <v>31</v>
      </c>
      <c r="J4" s="3" t="s">
        <v>32</v>
      </c>
      <c r="K4" s="3" t="s">
        <v>458</v>
      </c>
      <c r="L4" s="3" t="s">
        <v>135</v>
      </c>
      <c r="M4" s="3" t="s">
        <v>32</v>
      </c>
    </row>
    <row r="5" ht="22.5" customHeight="1">
      <c r="A5" s="3">
        <v>2049485.0</v>
      </c>
      <c r="B5" s="3" t="s">
        <v>459</v>
      </c>
      <c r="C5" s="3" t="s">
        <v>460</v>
      </c>
      <c r="D5" s="3" t="s">
        <v>89</v>
      </c>
      <c r="E5" s="5">
        <v>2893.85</v>
      </c>
      <c r="F5" s="31" t="s">
        <v>452</v>
      </c>
      <c r="G5" s="7">
        <f t="shared" si="1"/>
        <v>2170.3875</v>
      </c>
      <c r="H5" s="3" t="s">
        <v>130</v>
      </c>
      <c r="I5" s="3" t="s">
        <v>291</v>
      </c>
      <c r="J5" s="3" t="s">
        <v>32</v>
      </c>
      <c r="K5" s="3" t="s">
        <v>174</v>
      </c>
      <c r="L5" s="3" t="s">
        <v>307</v>
      </c>
      <c r="M5" s="3" t="s">
        <v>32</v>
      </c>
      <c r="N5" s="3" t="s">
        <v>133</v>
      </c>
      <c r="O5" s="3" t="s">
        <v>291</v>
      </c>
      <c r="P5" s="3" t="s">
        <v>32</v>
      </c>
      <c r="Q5" s="3" t="s">
        <v>206</v>
      </c>
      <c r="R5" s="3" t="s">
        <v>31</v>
      </c>
      <c r="S5" s="3" t="s">
        <v>32</v>
      </c>
      <c r="T5" s="3" t="s">
        <v>36</v>
      </c>
      <c r="U5" s="3" t="s">
        <v>31</v>
      </c>
      <c r="V5" s="3" t="s">
        <v>32</v>
      </c>
      <c r="W5" s="3" t="s">
        <v>222</v>
      </c>
      <c r="X5" s="3" t="s">
        <v>291</v>
      </c>
      <c r="Y5" s="3" t="s">
        <v>32</v>
      </c>
    </row>
    <row r="6" ht="22.5" customHeight="1">
      <c r="A6" s="3">
        <v>2049164.0</v>
      </c>
      <c r="B6" s="3" t="s">
        <v>461</v>
      </c>
      <c r="C6" s="3" t="s">
        <v>462</v>
      </c>
      <c r="D6" s="3" t="s">
        <v>173</v>
      </c>
      <c r="E6" s="5">
        <v>491.67</v>
      </c>
      <c r="F6" s="31" t="s">
        <v>452</v>
      </c>
      <c r="G6" s="7">
        <f t="shared" si="1"/>
        <v>368.7525</v>
      </c>
      <c r="H6" s="3" t="s">
        <v>37</v>
      </c>
      <c r="I6" s="3" t="s">
        <v>463</v>
      </c>
      <c r="J6" s="3" t="s">
        <v>61</v>
      </c>
    </row>
    <row r="7" ht="22.5" customHeight="1">
      <c r="A7" s="3">
        <v>2048862.0</v>
      </c>
      <c r="B7" s="3" t="s">
        <v>464</v>
      </c>
      <c r="C7" s="3" t="s">
        <v>465</v>
      </c>
      <c r="D7" s="3" t="s">
        <v>89</v>
      </c>
      <c r="E7" s="5">
        <v>20320.78</v>
      </c>
      <c r="F7" s="31" t="s">
        <v>452</v>
      </c>
      <c r="G7" s="7">
        <f t="shared" si="1"/>
        <v>15240.585</v>
      </c>
      <c r="H7" s="3" t="s">
        <v>33</v>
      </c>
      <c r="I7" s="3" t="s">
        <v>259</v>
      </c>
      <c r="J7" s="3" t="s">
        <v>56</v>
      </c>
      <c r="K7" s="3" t="s">
        <v>35</v>
      </c>
      <c r="L7" s="3" t="s">
        <v>466</v>
      </c>
      <c r="M7" s="3" t="s">
        <v>186</v>
      </c>
      <c r="N7" s="3" t="s">
        <v>277</v>
      </c>
      <c r="O7" s="3" t="s">
        <v>50</v>
      </c>
      <c r="P7" s="3" t="s">
        <v>32</v>
      </c>
      <c r="Q7" s="3" t="s">
        <v>49</v>
      </c>
      <c r="R7" s="3" t="s">
        <v>50</v>
      </c>
      <c r="S7" s="3" t="s">
        <v>32</v>
      </c>
      <c r="T7" s="3" t="s">
        <v>37</v>
      </c>
      <c r="U7" s="3" t="s">
        <v>285</v>
      </c>
      <c r="V7" s="3" t="s">
        <v>56</v>
      </c>
    </row>
    <row r="8" ht="22.5" customHeight="1">
      <c r="A8" s="3">
        <v>2046785.0</v>
      </c>
      <c r="B8" s="3" t="s">
        <v>467</v>
      </c>
      <c r="C8" s="3" t="s">
        <v>468</v>
      </c>
      <c r="D8" s="3" t="s">
        <v>155</v>
      </c>
      <c r="E8" s="5">
        <v>1437.27</v>
      </c>
      <c r="F8" s="31" t="s">
        <v>452</v>
      </c>
      <c r="G8" s="7">
        <f t="shared" si="1"/>
        <v>1077.9525</v>
      </c>
      <c r="H8" s="3" t="s">
        <v>59</v>
      </c>
      <c r="I8" s="3" t="s">
        <v>126</v>
      </c>
      <c r="J8" s="3" t="s">
        <v>32</v>
      </c>
      <c r="K8" s="3" t="s">
        <v>37</v>
      </c>
      <c r="L8" s="3" t="s">
        <v>469</v>
      </c>
      <c r="M8" s="3" t="s">
        <v>186</v>
      </c>
    </row>
    <row r="9" ht="22.5" customHeight="1">
      <c r="A9" s="3">
        <v>2046766.0</v>
      </c>
      <c r="B9" s="3" t="s">
        <v>470</v>
      </c>
      <c r="C9" s="3" t="s">
        <v>471</v>
      </c>
      <c r="D9" s="3" t="s">
        <v>184</v>
      </c>
      <c r="E9" s="5">
        <v>832.5</v>
      </c>
      <c r="F9" s="31" t="s">
        <v>452</v>
      </c>
      <c r="G9" s="7">
        <f t="shared" si="1"/>
        <v>624.375</v>
      </c>
      <c r="H9" s="3" t="s">
        <v>59</v>
      </c>
      <c r="I9" s="3" t="s">
        <v>163</v>
      </c>
      <c r="J9" s="3" t="s">
        <v>56</v>
      </c>
    </row>
    <row r="10" ht="22.5" customHeight="1">
      <c r="A10" s="3">
        <v>2046767.0</v>
      </c>
      <c r="B10" s="3" t="s">
        <v>470</v>
      </c>
      <c r="C10" s="3" t="s">
        <v>471</v>
      </c>
      <c r="D10" s="3" t="s">
        <v>184</v>
      </c>
      <c r="E10" s="5">
        <v>600.84</v>
      </c>
      <c r="F10" s="31" t="s">
        <v>452</v>
      </c>
      <c r="G10" s="7">
        <f t="shared" si="1"/>
        <v>450.63</v>
      </c>
      <c r="H10" s="3" t="s">
        <v>59</v>
      </c>
      <c r="I10" s="3" t="s">
        <v>163</v>
      </c>
      <c r="J10" s="3" t="s">
        <v>56</v>
      </c>
    </row>
    <row r="11" ht="22.5" customHeight="1">
      <c r="A11" s="3">
        <v>2046531.0</v>
      </c>
      <c r="B11" s="3" t="s">
        <v>472</v>
      </c>
      <c r="C11" s="3" t="s">
        <v>473</v>
      </c>
      <c r="D11" s="3" t="s">
        <v>40</v>
      </c>
      <c r="E11" s="5">
        <v>16055.76</v>
      </c>
      <c r="F11" s="31" t="s">
        <v>452</v>
      </c>
      <c r="G11" s="7">
        <f t="shared" si="1"/>
        <v>12041.82</v>
      </c>
      <c r="H11" s="3" t="s">
        <v>269</v>
      </c>
      <c r="I11" s="3" t="s">
        <v>270</v>
      </c>
      <c r="J11" s="3" t="s">
        <v>271</v>
      </c>
    </row>
    <row r="12" ht="22.5" customHeight="1">
      <c r="A12" s="3">
        <v>2046158.0</v>
      </c>
      <c r="B12" s="3" t="s">
        <v>474</v>
      </c>
      <c r="C12" s="3" t="s">
        <v>475</v>
      </c>
      <c r="D12" s="3" t="s">
        <v>184</v>
      </c>
      <c r="E12" s="5">
        <v>4757.26</v>
      </c>
      <c r="F12" s="31" t="s">
        <v>452</v>
      </c>
      <c r="G12" s="7">
        <f t="shared" si="1"/>
        <v>3567.945</v>
      </c>
      <c r="H12" s="3" t="s">
        <v>48</v>
      </c>
      <c r="I12" s="3" t="s">
        <v>135</v>
      </c>
      <c r="J12" s="3" t="s">
        <v>56</v>
      </c>
    </row>
    <row r="13" ht="22.5" customHeight="1">
      <c r="A13" s="3">
        <v>2046051.0</v>
      </c>
      <c r="B13" s="3" t="s">
        <v>476</v>
      </c>
      <c r="C13" s="3" t="s">
        <v>477</v>
      </c>
      <c r="D13" s="3" t="s">
        <v>184</v>
      </c>
      <c r="E13" s="5">
        <v>5765.95</v>
      </c>
      <c r="F13" s="31" t="s">
        <v>452</v>
      </c>
      <c r="G13" s="7">
        <f t="shared" si="1"/>
        <v>4324.4625</v>
      </c>
      <c r="H13" s="3" t="s">
        <v>206</v>
      </c>
      <c r="I13" s="3" t="s">
        <v>31</v>
      </c>
      <c r="J13" s="3" t="s">
        <v>32</v>
      </c>
      <c r="K13" s="3" t="s">
        <v>37</v>
      </c>
      <c r="L13" s="3" t="s">
        <v>371</v>
      </c>
      <c r="M13" s="3" t="s">
        <v>56</v>
      </c>
      <c r="N13" s="3" t="s">
        <v>41</v>
      </c>
      <c r="O13" s="3" t="s">
        <v>31</v>
      </c>
      <c r="P13" s="3" t="s">
        <v>32</v>
      </c>
    </row>
    <row r="14" ht="22.5" customHeight="1">
      <c r="A14" s="3">
        <v>2045630.0</v>
      </c>
      <c r="B14" s="3" t="s">
        <v>478</v>
      </c>
      <c r="C14" s="3" t="s">
        <v>479</v>
      </c>
      <c r="D14" s="3" t="s">
        <v>68</v>
      </c>
      <c r="E14" s="5">
        <v>1593.27</v>
      </c>
      <c r="F14" s="31" t="s">
        <v>452</v>
      </c>
      <c r="G14" s="7">
        <f t="shared" si="1"/>
        <v>1194.9525</v>
      </c>
      <c r="H14" s="3" t="s">
        <v>132</v>
      </c>
      <c r="I14" s="3" t="s">
        <v>38</v>
      </c>
      <c r="J14" s="3" t="s">
        <v>32</v>
      </c>
      <c r="K14" s="3" t="s">
        <v>108</v>
      </c>
      <c r="L14" s="3" t="s">
        <v>31</v>
      </c>
      <c r="M14" s="3" t="s">
        <v>32</v>
      </c>
      <c r="N14" s="3" t="s">
        <v>36</v>
      </c>
      <c r="O14" s="3" t="s">
        <v>31</v>
      </c>
      <c r="P14" s="3" t="s">
        <v>32</v>
      </c>
      <c r="Q14" s="3" t="s">
        <v>37</v>
      </c>
      <c r="R14" s="3" t="s">
        <v>259</v>
      </c>
      <c r="S14" s="3" t="s">
        <v>56</v>
      </c>
    </row>
    <row r="15" ht="22.5" customHeight="1">
      <c r="A15" s="3">
        <v>2044949.0</v>
      </c>
      <c r="B15" s="3" t="s">
        <v>480</v>
      </c>
      <c r="C15" s="3" t="s">
        <v>481</v>
      </c>
      <c r="D15" s="3" t="s">
        <v>58</v>
      </c>
      <c r="E15" s="5">
        <v>777.57</v>
      </c>
      <c r="F15" s="31" t="s">
        <v>452</v>
      </c>
      <c r="G15" s="7">
        <f t="shared" si="1"/>
        <v>583.1775</v>
      </c>
      <c r="H15" s="3" t="s">
        <v>206</v>
      </c>
      <c r="I15" s="3" t="s">
        <v>31</v>
      </c>
      <c r="J15" s="3" t="s">
        <v>32</v>
      </c>
      <c r="K15" s="3" t="s">
        <v>36</v>
      </c>
      <c r="L15" s="3" t="s">
        <v>31</v>
      </c>
      <c r="M15" s="3" t="s">
        <v>32</v>
      </c>
      <c r="N15" s="3" t="s">
        <v>37</v>
      </c>
      <c r="O15" s="3" t="s">
        <v>482</v>
      </c>
      <c r="P15" s="3" t="s">
        <v>56</v>
      </c>
    </row>
    <row r="16" ht="22.5" customHeight="1">
      <c r="A16" s="3">
        <v>2044440.0</v>
      </c>
      <c r="B16" s="3" t="s">
        <v>483</v>
      </c>
      <c r="C16" s="3" t="s">
        <v>484</v>
      </c>
      <c r="D16" s="3" t="s">
        <v>173</v>
      </c>
      <c r="E16" s="5">
        <v>3650.0</v>
      </c>
      <c r="F16" s="31" t="s">
        <v>452</v>
      </c>
      <c r="G16" s="7">
        <f t="shared" si="1"/>
        <v>2737.5</v>
      </c>
      <c r="H16" s="3" t="s">
        <v>59</v>
      </c>
      <c r="I16" s="3" t="s">
        <v>126</v>
      </c>
      <c r="J16" s="3" t="s">
        <v>32</v>
      </c>
      <c r="K16" s="3" t="s">
        <v>41</v>
      </c>
      <c r="L16" s="3" t="s">
        <v>31</v>
      </c>
      <c r="M16" s="3" t="s">
        <v>32</v>
      </c>
    </row>
    <row r="17" ht="22.5" customHeight="1">
      <c r="A17" s="3">
        <v>2044320.0</v>
      </c>
      <c r="B17" s="3" t="s">
        <v>485</v>
      </c>
      <c r="C17" s="3" t="s">
        <v>486</v>
      </c>
      <c r="D17" s="3" t="s">
        <v>184</v>
      </c>
      <c r="E17" s="5">
        <v>1121.63</v>
      </c>
      <c r="F17" s="31" t="s">
        <v>452</v>
      </c>
      <c r="G17" s="7">
        <f t="shared" si="1"/>
        <v>841.2225</v>
      </c>
      <c r="H17" s="3" t="s">
        <v>132</v>
      </c>
      <c r="I17" s="3" t="s">
        <v>38</v>
      </c>
      <c r="J17" s="3" t="s">
        <v>32</v>
      </c>
      <c r="K17" s="3" t="s">
        <v>37</v>
      </c>
      <c r="L17" s="3" t="s">
        <v>38</v>
      </c>
      <c r="M17" s="3" t="s">
        <v>32</v>
      </c>
    </row>
    <row r="18" ht="22.5" customHeight="1">
      <c r="A18" s="3">
        <v>2044049.0</v>
      </c>
      <c r="B18" s="3" t="s">
        <v>487</v>
      </c>
      <c r="C18" s="3" t="s">
        <v>488</v>
      </c>
      <c r="D18" s="3" t="s">
        <v>184</v>
      </c>
      <c r="E18" s="5">
        <v>279.96</v>
      </c>
      <c r="F18" s="31" t="s">
        <v>452</v>
      </c>
      <c r="G18" s="7">
        <f t="shared" si="1"/>
        <v>209.97</v>
      </c>
      <c r="H18" s="3" t="s">
        <v>489</v>
      </c>
      <c r="I18" s="3" t="s">
        <v>490</v>
      </c>
      <c r="J18" s="3" t="s">
        <v>32</v>
      </c>
    </row>
    <row r="19" ht="22.5" customHeight="1">
      <c r="A19" s="3">
        <v>2043985.0</v>
      </c>
      <c r="B19" s="3" t="s">
        <v>491</v>
      </c>
      <c r="C19" s="3" t="s">
        <v>492</v>
      </c>
      <c r="D19" s="3" t="s">
        <v>89</v>
      </c>
      <c r="E19" s="5">
        <v>7611.62</v>
      </c>
      <c r="F19" s="31" t="s">
        <v>452</v>
      </c>
      <c r="G19" s="7">
        <f t="shared" si="1"/>
        <v>5708.715</v>
      </c>
      <c r="H19" s="3" t="s">
        <v>116</v>
      </c>
      <c r="I19" s="3" t="s">
        <v>493</v>
      </c>
      <c r="J19" s="3" t="s">
        <v>494</v>
      </c>
    </row>
    <row r="20" ht="22.5" customHeight="1">
      <c r="A20" s="3">
        <v>2043372.0</v>
      </c>
      <c r="B20" s="3" t="s">
        <v>495</v>
      </c>
      <c r="C20" s="3" t="s">
        <v>496</v>
      </c>
      <c r="D20" s="3" t="s">
        <v>360</v>
      </c>
      <c r="E20" s="5">
        <v>1486.63</v>
      </c>
      <c r="F20" s="31" t="s">
        <v>452</v>
      </c>
      <c r="G20" s="7">
        <f t="shared" si="1"/>
        <v>1114.9725</v>
      </c>
      <c r="H20" s="3" t="s">
        <v>165</v>
      </c>
      <c r="I20" s="3" t="s">
        <v>44</v>
      </c>
      <c r="J20" s="3" t="s">
        <v>32</v>
      </c>
    </row>
    <row r="21" ht="22.5" customHeight="1">
      <c r="A21" s="3">
        <v>2043055.0</v>
      </c>
      <c r="B21" s="3" t="s">
        <v>497</v>
      </c>
      <c r="C21" s="3" t="s">
        <v>498</v>
      </c>
      <c r="D21" s="3" t="s">
        <v>29</v>
      </c>
      <c r="E21" s="5">
        <v>1434.51</v>
      </c>
      <c r="F21" s="31" t="s">
        <v>452</v>
      </c>
      <c r="G21" s="7">
        <f t="shared" si="1"/>
        <v>1075.8825</v>
      </c>
      <c r="H21" s="3" t="s">
        <v>132</v>
      </c>
      <c r="I21" s="3" t="s">
        <v>131</v>
      </c>
      <c r="J21" s="3" t="s">
        <v>32</v>
      </c>
      <c r="K21" s="3" t="s">
        <v>36</v>
      </c>
      <c r="L21" s="3" t="s">
        <v>31</v>
      </c>
      <c r="M21" s="3" t="s">
        <v>32</v>
      </c>
      <c r="N21" s="3" t="s">
        <v>37</v>
      </c>
      <c r="O21" s="3" t="s">
        <v>215</v>
      </c>
      <c r="P21" s="3" t="s">
        <v>56</v>
      </c>
    </row>
    <row r="22" ht="22.5" customHeight="1">
      <c r="A22" s="3">
        <v>2042862.0</v>
      </c>
      <c r="B22" s="3" t="s">
        <v>499</v>
      </c>
      <c r="C22" s="3" t="s">
        <v>500</v>
      </c>
      <c r="D22" s="3" t="s">
        <v>81</v>
      </c>
      <c r="E22" s="5">
        <v>54.07</v>
      </c>
      <c r="F22" s="31" t="s">
        <v>452</v>
      </c>
      <c r="G22" s="7">
        <f t="shared" si="1"/>
        <v>40.5525</v>
      </c>
      <c r="H22" s="3" t="s">
        <v>501</v>
      </c>
      <c r="I22" s="3" t="s">
        <v>104</v>
      </c>
      <c r="J22" s="3" t="s">
        <v>32</v>
      </c>
    </row>
    <row r="23" ht="22.5" customHeight="1">
      <c r="A23" s="3">
        <v>2042849.0</v>
      </c>
      <c r="B23" s="3" t="s">
        <v>502</v>
      </c>
      <c r="C23" s="3" t="s">
        <v>503</v>
      </c>
      <c r="D23" s="3" t="s">
        <v>155</v>
      </c>
      <c r="E23" s="5">
        <v>1799.41</v>
      </c>
      <c r="F23" s="31" t="s">
        <v>452</v>
      </c>
      <c r="G23" s="7">
        <f t="shared" si="1"/>
        <v>1349.5575</v>
      </c>
      <c r="H23" s="3" t="s">
        <v>83</v>
      </c>
      <c r="I23" s="3" t="s">
        <v>225</v>
      </c>
      <c r="J23" s="3" t="s">
        <v>32</v>
      </c>
      <c r="K23" s="3" t="s">
        <v>85</v>
      </c>
      <c r="L23" s="3" t="s">
        <v>225</v>
      </c>
      <c r="M23" s="3" t="s">
        <v>32</v>
      </c>
      <c r="N23" s="3" t="s">
        <v>37</v>
      </c>
      <c r="O23" s="3" t="s">
        <v>504</v>
      </c>
      <c r="P23" s="3" t="s">
        <v>56</v>
      </c>
    </row>
    <row r="24" ht="22.5" customHeight="1">
      <c r="A24" s="3">
        <v>2042679.0</v>
      </c>
      <c r="B24" s="3" t="s">
        <v>505</v>
      </c>
      <c r="C24" s="3" t="s">
        <v>506</v>
      </c>
      <c r="D24" s="3" t="s">
        <v>81</v>
      </c>
      <c r="E24" s="5">
        <v>856.29</v>
      </c>
      <c r="F24" s="31" t="s">
        <v>452</v>
      </c>
      <c r="G24" s="7">
        <f t="shared" si="1"/>
        <v>642.2175</v>
      </c>
      <c r="H24" s="3" t="s">
        <v>132</v>
      </c>
      <c r="I24" s="3" t="s">
        <v>74</v>
      </c>
      <c r="J24" s="3" t="s">
        <v>32</v>
      </c>
    </row>
    <row r="25" ht="22.5" customHeight="1">
      <c r="A25" s="3">
        <v>2042214.0</v>
      </c>
      <c r="B25" s="3" t="s">
        <v>507</v>
      </c>
      <c r="C25" s="3" t="s">
        <v>508</v>
      </c>
      <c r="D25" s="3" t="s">
        <v>81</v>
      </c>
      <c r="E25" s="5">
        <v>2072.02</v>
      </c>
      <c r="F25" s="31" t="s">
        <v>452</v>
      </c>
      <c r="G25" s="7">
        <f t="shared" si="1"/>
        <v>1554.015</v>
      </c>
      <c r="H25" s="3" t="s">
        <v>252</v>
      </c>
      <c r="I25" s="3" t="s">
        <v>199</v>
      </c>
      <c r="J25" s="3" t="s">
        <v>32</v>
      </c>
    </row>
    <row r="26" ht="22.5" customHeight="1">
      <c r="A26" s="3">
        <v>2042005.0</v>
      </c>
      <c r="B26" s="3" t="s">
        <v>509</v>
      </c>
      <c r="C26" s="3" t="s">
        <v>510</v>
      </c>
      <c r="D26" s="3" t="s">
        <v>89</v>
      </c>
      <c r="E26" s="5">
        <v>398.58</v>
      </c>
      <c r="F26" s="31" t="s">
        <v>452</v>
      </c>
      <c r="G26" s="7">
        <f t="shared" si="1"/>
        <v>298.935</v>
      </c>
      <c r="H26" s="3" t="s">
        <v>109</v>
      </c>
      <c r="I26" s="3" t="s">
        <v>92</v>
      </c>
      <c r="J26" s="3" t="s">
        <v>32</v>
      </c>
    </row>
    <row r="27" ht="22.5" customHeight="1">
      <c r="A27" s="3">
        <v>2041985.0</v>
      </c>
      <c r="B27" s="3" t="s">
        <v>509</v>
      </c>
      <c r="C27" s="3" t="s">
        <v>510</v>
      </c>
      <c r="D27" s="3" t="s">
        <v>89</v>
      </c>
      <c r="E27" s="5">
        <v>446.69</v>
      </c>
      <c r="F27" s="31" t="s">
        <v>452</v>
      </c>
      <c r="G27" s="7">
        <f t="shared" si="1"/>
        <v>335.0175</v>
      </c>
      <c r="H27" s="3" t="s">
        <v>108</v>
      </c>
      <c r="I27" s="3" t="s">
        <v>31</v>
      </c>
      <c r="J27" s="3" t="s">
        <v>32</v>
      </c>
      <c r="K27" s="3" t="s">
        <v>37</v>
      </c>
      <c r="L27" s="3" t="s">
        <v>92</v>
      </c>
      <c r="M27" s="3" t="s">
        <v>32</v>
      </c>
    </row>
    <row r="28" ht="22.5" customHeight="1">
      <c r="A28" s="3">
        <v>2041607.0</v>
      </c>
      <c r="B28" s="3" t="s">
        <v>511</v>
      </c>
      <c r="C28" s="3" t="s">
        <v>512</v>
      </c>
      <c r="D28" s="3" t="s">
        <v>513</v>
      </c>
      <c r="E28" s="5">
        <v>4000.1</v>
      </c>
      <c r="F28" s="31" t="s">
        <v>452</v>
      </c>
      <c r="G28" s="7">
        <f t="shared" si="1"/>
        <v>3000.075</v>
      </c>
      <c r="H28" s="3" t="s">
        <v>66</v>
      </c>
      <c r="I28" s="3" t="s">
        <v>31</v>
      </c>
      <c r="J28" s="3" t="s">
        <v>32</v>
      </c>
      <c r="K28" s="3" t="s">
        <v>83</v>
      </c>
      <c r="L28" s="3" t="s">
        <v>139</v>
      </c>
      <c r="M28" s="3" t="s">
        <v>32</v>
      </c>
      <c r="N28" s="3" t="s">
        <v>212</v>
      </c>
      <c r="O28" s="3" t="s">
        <v>139</v>
      </c>
      <c r="P28" s="3" t="s">
        <v>32</v>
      </c>
      <c r="Q28" s="3" t="s">
        <v>85</v>
      </c>
      <c r="R28" s="3" t="s">
        <v>139</v>
      </c>
      <c r="S28" s="3" t="s">
        <v>32</v>
      </c>
      <c r="T28" s="3" t="s">
        <v>108</v>
      </c>
      <c r="U28" s="3" t="s">
        <v>31</v>
      </c>
      <c r="V28" s="3" t="s">
        <v>32</v>
      </c>
      <c r="W28" s="3" t="s">
        <v>95</v>
      </c>
      <c r="X28" s="3" t="s">
        <v>44</v>
      </c>
      <c r="Y28" s="3" t="s">
        <v>32</v>
      </c>
      <c r="Z28" s="3" t="s">
        <v>37</v>
      </c>
      <c r="AA28" s="3" t="s">
        <v>514</v>
      </c>
      <c r="AB28" s="3" t="s">
        <v>61</v>
      </c>
    </row>
    <row r="29" ht="22.5" customHeight="1">
      <c r="A29" s="3">
        <v>2041452.0</v>
      </c>
      <c r="B29" s="3" t="s">
        <v>515</v>
      </c>
      <c r="C29" s="3" t="s">
        <v>516</v>
      </c>
      <c r="D29" s="3" t="s">
        <v>513</v>
      </c>
      <c r="E29" s="5">
        <v>3769.96</v>
      </c>
      <c r="F29" s="31" t="s">
        <v>452</v>
      </c>
      <c r="G29" s="7">
        <f t="shared" si="1"/>
        <v>2827.47</v>
      </c>
      <c r="H29" s="3" t="s">
        <v>83</v>
      </c>
      <c r="I29" s="3" t="s">
        <v>139</v>
      </c>
      <c r="J29" s="3" t="s">
        <v>32</v>
      </c>
      <c r="K29" s="3" t="s">
        <v>212</v>
      </c>
      <c r="L29" s="3" t="s">
        <v>139</v>
      </c>
      <c r="M29" s="3" t="s">
        <v>32</v>
      </c>
      <c r="N29" s="3" t="s">
        <v>85</v>
      </c>
      <c r="O29" s="3" t="s">
        <v>139</v>
      </c>
      <c r="P29" s="3" t="s">
        <v>32</v>
      </c>
      <c r="Q29" s="3" t="s">
        <v>206</v>
      </c>
      <c r="R29" s="3" t="s">
        <v>31</v>
      </c>
      <c r="S29" s="3" t="s">
        <v>32</v>
      </c>
      <c r="T29" s="3" t="s">
        <v>95</v>
      </c>
      <c r="U29" s="3" t="s">
        <v>44</v>
      </c>
      <c r="V29" s="3" t="s">
        <v>32</v>
      </c>
      <c r="W29" s="3" t="s">
        <v>37</v>
      </c>
      <c r="X29" s="3" t="s">
        <v>517</v>
      </c>
      <c r="Y29" s="3" t="s">
        <v>61</v>
      </c>
    </row>
    <row r="30" ht="22.5" customHeight="1">
      <c r="A30" s="3">
        <v>2041046.0</v>
      </c>
      <c r="B30" s="3" t="s">
        <v>518</v>
      </c>
      <c r="C30" s="3" t="s">
        <v>519</v>
      </c>
      <c r="D30" s="3" t="s">
        <v>155</v>
      </c>
      <c r="E30" s="5">
        <v>2048.36</v>
      </c>
      <c r="F30" s="31" t="s">
        <v>452</v>
      </c>
      <c r="G30" s="7">
        <f t="shared" si="1"/>
        <v>1536.27</v>
      </c>
      <c r="H30" s="3" t="s">
        <v>150</v>
      </c>
      <c r="I30" s="3" t="s">
        <v>31</v>
      </c>
      <c r="J30" s="3" t="s">
        <v>32</v>
      </c>
      <c r="K30" s="3" t="s">
        <v>48</v>
      </c>
      <c r="L30" s="3" t="s">
        <v>44</v>
      </c>
      <c r="M30" s="3" t="s">
        <v>32</v>
      </c>
    </row>
    <row r="31" ht="22.5" customHeight="1">
      <c r="A31" s="3">
        <v>2040040.0</v>
      </c>
      <c r="B31" s="3" t="s">
        <v>520</v>
      </c>
      <c r="C31" s="3" t="s">
        <v>521</v>
      </c>
      <c r="D31" s="3" t="s">
        <v>68</v>
      </c>
      <c r="E31" s="5">
        <v>4690.6</v>
      </c>
      <c r="F31" s="31" t="s">
        <v>452</v>
      </c>
      <c r="G31" s="7">
        <f t="shared" si="1"/>
        <v>3517.95</v>
      </c>
      <c r="H31" s="3" t="s">
        <v>41</v>
      </c>
      <c r="I31" s="3" t="s">
        <v>31</v>
      </c>
      <c r="J31" s="3" t="s">
        <v>32</v>
      </c>
    </row>
    <row r="32" ht="22.5" customHeight="1">
      <c r="A32" s="3">
        <v>2040034.0</v>
      </c>
      <c r="B32" s="3" t="s">
        <v>522</v>
      </c>
      <c r="C32" s="3" t="s">
        <v>521</v>
      </c>
      <c r="D32" s="3" t="s">
        <v>68</v>
      </c>
      <c r="E32" s="5">
        <v>3302.12</v>
      </c>
      <c r="F32" s="31" t="s">
        <v>452</v>
      </c>
      <c r="G32" s="7">
        <f t="shared" si="1"/>
        <v>2476.59</v>
      </c>
      <c r="H32" s="3" t="s">
        <v>83</v>
      </c>
      <c r="I32" s="3" t="s">
        <v>140</v>
      </c>
      <c r="J32" s="3" t="s">
        <v>32</v>
      </c>
      <c r="K32" s="3" t="s">
        <v>212</v>
      </c>
      <c r="L32" s="3" t="s">
        <v>140</v>
      </c>
      <c r="M32" s="3" t="s">
        <v>32</v>
      </c>
      <c r="N32" s="3" t="s">
        <v>59</v>
      </c>
      <c r="O32" s="3" t="s">
        <v>313</v>
      </c>
      <c r="P32" s="3" t="s">
        <v>32</v>
      </c>
      <c r="Q32" s="3" t="s">
        <v>133</v>
      </c>
      <c r="R32" s="3" t="s">
        <v>140</v>
      </c>
      <c r="S32" s="3" t="s">
        <v>32</v>
      </c>
      <c r="T32" s="3" t="s">
        <v>206</v>
      </c>
      <c r="U32" s="3" t="s">
        <v>31</v>
      </c>
      <c r="V32" s="3" t="s">
        <v>32</v>
      </c>
      <c r="W32" s="3" t="s">
        <v>222</v>
      </c>
      <c r="X32" s="3" t="s">
        <v>140</v>
      </c>
      <c r="Y32" s="3" t="s">
        <v>32</v>
      </c>
    </row>
    <row r="33" ht="22.5" customHeight="1">
      <c r="A33" s="3">
        <v>2040029.0</v>
      </c>
      <c r="B33" s="3" t="s">
        <v>523</v>
      </c>
      <c r="C33" s="3" t="s">
        <v>521</v>
      </c>
      <c r="D33" s="3" t="s">
        <v>68</v>
      </c>
      <c r="E33" s="5">
        <v>1520.03</v>
      </c>
      <c r="F33" s="31" t="s">
        <v>452</v>
      </c>
      <c r="G33" s="7">
        <f t="shared" si="1"/>
        <v>1140.0225</v>
      </c>
      <c r="H33" s="3" t="s">
        <v>30</v>
      </c>
      <c r="I33" s="3" t="s">
        <v>31</v>
      </c>
      <c r="J33" s="3" t="s">
        <v>32</v>
      </c>
      <c r="K33" s="3" t="s">
        <v>108</v>
      </c>
      <c r="L33" s="3" t="s">
        <v>31</v>
      </c>
      <c r="M33" s="3" t="s">
        <v>32</v>
      </c>
    </row>
    <row r="34" ht="22.5" customHeight="1">
      <c r="A34" s="3">
        <v>2039901.0</v>
      </c>
      <c r="B34" s="3" t="s">
        <v>524</v>
      </c>
      <c r="C34" s="3" t="s">
        <v>525</v>
      </c>
      <c r="D34" s="3" t="s">
        <v>184</v>
      </c>
      <c r="E34" s="5">
        <v>2051.59</v>
      </c>
      <c r="F34" s="31" t="s">
        <v>452</v>
      </c>
      <c r="G34" s="7">
        <f t="shared" si="1"/>
        <v>1538.6925</v>
      </c>
      <c r="H34" s="3" t="s">
        <v>83</v>
      </c>
      <c r="I34" s="3" t="s">
        <v>34</v>
      </c>
      <c r="J34" s="3" t="s">
        <v>32</v>
      </c>
      <c r="K34" s="3" t="s">
        <v>212</v>
      </c>
      <c r="L34" s="3" t="s">
        <v>34</v>
      </c>
      <c r="M34" s="3" t="s">
        <v>32</v>
      </c>
      <c r="N34" s="3" t="s">
        <v>85</v>
      </c>
      <c r="O34" s="3" t="s">
        <v>34</v>
      </c>
      <c r="P34" s="3" t="s">
        <v>32</v>
      </c>
    </row>
    <row r="35" ht="22.5" customHeight="1">
      <c r="A35" s="3">
        <v>2039045.0</v>
      </c>
      <c r="B35" s="3" t="s">
        <v>526</v>
      </c>
      <c r="C35" s="3" t="s">
        <v>527</v>
      </c>
      <c r="D35" s="3" t="s">
        <v>296</v>
      </c>
      <c r="E35" s="5">
        <v>320.43</v>
      </c>
      <c r="F35" s="31" t="s">
        <v>452</v>
      </c>
      <c r="G35" s="7">
        <f t="shared" si="1"/>
        <v>240.3225</v>
      </c>
      <c r="H35" s="3" t="s">
        <v>37</v>
      </c>
      <c r="I35" s="3" t="s">
        <v>528</v>
      </c>
      <c r="J35" s="3" t="s">
        <v>56</v>
      </c>
    </row>
    <row r="36" ht="22.5" customHeight="1">
      <c r="A36" s="3">
        <v>2038942.0</v>
      </c>
      <c r="B36" s="3" t="s">
        <v>529</v>
      </c>
      <c r="C36" s="3" t="s">
        <v>530</v>
      </c>
      <c r="D36" s="3" t="s">
        <v>360</v>
      </c>
      <c r="E36" s="5">
        <v>254.47</v>
      </c>
      <c r="F36" s="31" t="s">
        <v>452</v>
      </c>
      <c r="G36" s="7">
        <f t="shared" si="1"/>
        <v>190.8525</v>
      </c>
      <c r="H36" s="3" t="s">
        <v>37</v>
      </c>
      <c r="I36" s="3" t="s">
        <v>531</v>
      </c>
      <c r="J36" s="3" t="s">
        <v>56</v>
      </c>
    </row>
    <row r="37" ht="22.5" customHeight="1">
      <c r="A37" s="3">
        <v>2038905.0</v>
      </c>
      <c r="B37" s="3" t="s">
        <v>532</v>
      </c>
      <c r="C37" s="3" t="s">
        <v>533</v>
      </c>
      <c r="D37" s="3" t="s">
        <v>296</v>
      </c>
      <c r="E37" s="5">
        <v>1894.64</v>
      </c>
      <c r="F37" s="31" t="s">
        <v>452</v>
      </c>
      <c r="G37" s="7">
        <f t="shared" si="1"/>
        <v>1420.98</v>
      </c>
      <c r="H37" s="3" t="s">
        <v>130</v>
      </c>
      <c r="I37" s="3" t="s">
        <v>74</v>
      </c>
      <c r="J37" s="3" t="s">
        <v>32</v>
      </c>
      <c r="K37" s="3" t="s">
        <v>133</v>
      </c>
      <c r="L37" s="3" t="s">
        <v>74</v>
      </c>
      <c r="M37" s="3" t="s">
        <v>32</v>
      </c>
      <c r="N37" s="3" t="s">
        <v>37</v>
      </c>
      <c r="O37" s="3" t="s">
        <v>63</v>
      </c>
      <c r="P37" s="3" t="s">
        <v>32</v>
      </c>
    </row>
    <row r="38" ht="22.5" customHeight="1">
      <c r="A38" s="3">
        <v>2038775.0</v>
      </c>
      <c r="B38" s="3" t="s">
        <v>534</v>
      </c>
      <c r="C38" s="3" t="s">
        <v>535</v>
      </c>
      <c r="D38" s="3" t="s">
        <v>296</v>
      </c>
      <c r="E38" s="5">
        <v>279.96</v>
      </c>
      <c r="F38" s="31" t="s">
        <v>452</v>
      </c>
      <c r="G38" s="7">
        <f t="shared" si="1"/>
        <v>209.97</v>
      </c>
      <c r="H38" s="3" t="s">
        <v>536</v>
      </c>
      <c r="I38" s="3" t="s">
        <v>63</v>
      </c>
      <c r="J38" s="3" t="s">
        <v>32</v>
      </c>
    </row>
    <row r="39" ht="22.5" customHeight="1">
      <c r="A39" s="3">
        <v>2038155.0</v>
      </c>
      <c r="B39" s="3" t="s">
        <v>537</v>
      </c>
      <c r="D39" s="3" t="s">
        <v>40</v>
      </c>
      <c r="E39" s="5">
        <v>1308.25</v>
      </c>
      <c r="F39" s="31" t="s">
        <v>452</v>
      </c>
      <c r="G39" s="7">
        <f t="shared" si="1"/>
        <v>981.1875</v>
      </c>
      <c r="H39" s="3" t="s">
        <v>130</v>
      </c>
      <c r="I39" s="3" t="s">
        <v>38</v>
      </c>
      <c r="J39" s="3" t="s">
        <v>32</v>
      </c>
    </row>
    <row r="40" ht="22.5" customHeight="1">
      <c r="A40" s="3">
        <v>2037924.0</v>
      </c>
      <c r="B40" s="3" t="s">
        <v>329</v>
      </c>
      <c r="C40" s="3" t="s">
        <v>538</v>
      </c>
      <c r="D40" s="3" t="s">
        <v>40</v>
      </c>
      <c r="E40" s="5">
        <v>1632.14</v>
      </c>
      <c r="F40" s="31" t="s">
        <v>452</v>
      </c>
      <c r="G40" s="7">
        <f t="shared" si="1"/>
        <v>1224.105</v>
      </c>
      <c r="H40" s="3" t="s">
        <v>150</v>
      </c>
      <c r="I40" s="3" t="s">
        <v>31</v>
      </c>
      <c r="J40" s="3" t="s">
        <v>32</v>
      </c>
      <c r="K40" s="3" t="s">
        <v>37</v>
      </c>
      <c r="L40" s="3" t="s">
        <v>539</v>
      </c>
      <c r="M40" s="3" t="s">
        <v>70</v>
      </c>
      <c r="N40" s="3" t="s">
        <v>118</v>
      </c>
      <c r="O40" s="3" t="s">
        <v>234</v>
      </c>
      <c r="P40" s="3" t="s">
        <v>32</v>
      </c>
    </row>
    <row r="41" ht="22.5" customHeight="1">
      <c r="A41" s="3">
        <v>2037624.0</v>
      </c>
      <c r="B41" s="3" t="s">
        <v>540</v>
      </c>
      <c r="C41" s="3" t="s">
        <v>541</v>
      </c>
      <c r="D41" s="3" t="s">
        <v>360</v>
      </c>
      <c r="E41" s="5">
        <v>2452.79</v>
      </c>
      <c r="F41" s="31" t="s">
        <v>452</v>
      </c>
      <c r="G41" s="7">
        <f t="shared" si="1"/>
        <v>1839.5925</v>
      </c>
      <c r="H41" s="3" t="s">
        <v>212</v>
      </c>
      <c r="I41" s="3" t="s">
        <v>542</v>
      </c>
      <c r="J41" s="3" t="s">
        <v>56</v>
      </c>
      <c r="K41" s="3" t="s">
        <v>206</v>
      </c>
      <c r="L41" s="3" t="s">
        <v>31</v>
      </c>
      <c r="M41" s="3" t="s">
        <v>32</v>
      </c>
      <c r="N41" s="3" t="s">
        <v>37</v>
      </c>
      <c r="O41" s="3" t="s">
        <v>543</v>
      </c>
      <c r="P41" s="3" t="s">
        <v>186</v>
      </c>
    </row>
    <row r="42" ht="22.5" customHeight="1">
      <c r="A42" s="3">
        <v>2037466.0</v>
      </c>
      <c r="B42" s="3" t="s">
        <v>544</v>
      </c>
      <c r="C42" s="3" t="s">
        <v>545</v>
      </c>
      <c r="D42" s="3" t="s">
        <v>40</v>
      </c>
      <c r="E42" s="5">
        <v>1154.62</v>
      </c>
      <c r="F42" s="31" t="s">
        <v>452</v>
      </c>
      <c r="G42" s="7">
        <f t="shared" si="1"/>
        <v>865.965</v>
      </c>
      <c r="H42" s="3" t="s">
        <v>108</v>
      </c>
      <c r="I42" s="3" t="s">
        <v>31</v>
      </c>
      <c r="J42" s="3" t="s">
        <v>32</v>
      </c>
      <c r="K42" s="3" t="s">
        <v>37</v>
      </c>
      <c r="L42" s="3" t="s">
        <v>546</v>
      </c>
      <c r="M42" s="3" t="s">
        <v>197</v>
      </c>
    </row>
    <row r="43" ht="22.5" customHeight="1">
      <c r="A43" s="3">
        <v>2037358.0</v>
      </c>
      <c r="B43" s="3" t="s">
        <v>547</v>
      </c>
      <c r="C43" s="3" t="s">
        <v>548</v>
      </c>
      <c r="D43" s="3" t="s">
        <v>155</v>
      </c>
      <c r="E43" s="5">
        <v>2973.26</v>
      </c>
      <c r="F43" s="31" t="s">
        <v>452</v>
      </c>
      <c r="G43" s="7">
        <f t="shared" si="1"/>
        <v>2229.945</v>
      </c>
      <c r="H43" s="3" t="s">
        <v>33</v>
      </c>
      <c r="I43" s="3" t="s">
        <v>34</v>
      </c>
      <c r="J43" s="3" t="s">
        <v>32</v>
      </c>
      <c r="K43" s="3" t="s">
        <v>35</v>
      </c>
      <c r="L43" s="3" t="s">
        <v>34</v>
      </c>
      <c r="M43" s="3" t="s">
        <v>32</v>
      </c>
    </row>
    <row r="44" ht="22.5" customHeight="1">
      <c r="A44" s="3">
        <v>2037336.0</v>
      </c>
      <c r="B44" s="3" t="s">
        <v>549</v>
      </c>
      <c r="C44" s="3" t="s">
        <v>550</v>
      </c>
      <c r="D44" s="3" t="s">
        <v>155</v>
      </c>
      <c r="E44" s="5">
        <v>3010.15</v>
      </c>
      <c r="F44" s="31" t="s">
        <v>452</v>
      </c>
      <c r="G44" s="7">
        <f t="shared" si="1"/>
        <v>2257.6125</v>
      </c>
      <c r="H44" s="3" t="s">
        <v>41</v>
      </c>
      <c r="I44" s="3" t="s">
        <v>31</v>
      </c>
      <c r="J44" s="3" t="s">
        <v>32</v>
      </c>
    </row>
    <row r="45" ht="22.5" customHeight="1">
      <c r="A45" s="3">
        <v>2037017.0</v>
      </c>
      <c r="B45" s="3" t="s">
        <v>551</v>
      </c>
      <c r="C45" s="3" t="s">
        <v>552</v>
      </c>
      <c r="D45" s="3" t="s">
        <v>513</v>
      </c>
      <c r="E45" s="5">
        <v>1603.89</v>
      </c>
      <c r="F45" s="31" t="s">
        <v>452</v>
      </c>
      <c r="G45" s="7">
        <f t="shared" si="1"/>
        <v>1202.9175</v>
      </c>
      <c r="H45" s="3" t="s">
        <v>130</v>
      </c>
      <c r="I45" s="3" t="s">
        <v>140</v>
      </c>
      <c r="J45" s="3" t="s">
        <v>32</v>
      </c>
      <c r="K45" s="3" t="s">
        <v>133</v>
      </c>
      <c r="L45" s="3" t="s">
        <v>140</v>
      </c>
      <c r="M45" s="3" t="s">
        <v>32</v>
      </c>
      <c r="N45" s="3" t="s">
        <v>108</v>
      </c>
      <c r="O45" s="3" t="s">
        <v>31</v>
      </c>
      <c r="P45" s="3" t="s">
        <v>32</v>
      </c>
    </row>
    <row r="46" ht="22.5" customHeight="1">
      <c r="A46" s="3">
        <v>2036928.0</v>
      </c>
      <c r="B46" s="3" t="s">
        <v>553</v>
      </c>
      <c r="C46" s="3" t="s">
        <v>554</v>
      </c>
      <c r="D46" s="3" t="s">
        <v>40</v>
      </c>
      <c r="E46" s="5">
        <v>6689.88</v>
      </c>
      <c r="F46" s="31" t="s">
        <v>452</v>
      </c>
      <c r="G46" s="7">
        <f t="shared" si="1"/>
        <v>5017.41</v>
      </c>
    </row>
    <row r="47" ht="22.5" customHeight="1">
      <c r="A47" s="3">
        <v>2036876.0</v>
      </c>
      <c r="B47" s="3" t="s">
        <v>555</v>
      </c>
      <c r="C47" s="3" t="s">
        <v>556</v>
      </c>
      <c r="D47" s="3" t="s">
        <v>40</v>
      </c>
      <c r="E47" s="5">
        <v>8622.52</v>
      </c>
      <c r="F47" s="31" t="s">
        <v>452</v>
      </c>
      <c r="G47" s="7">
        <f t="shared" si="1"/>
        <v>6466.89</v>
      </c>
      <c r="H47" s="3" t="s">
        <v>35</v>
      </c>
      <c r="I47" s="3" t="s">
        <v>74</v>
      </c>
      <c r="J47" s="3" t="s">
        <v>32</v>
      </c>
      <c r="K47" s="3" t="s">
        <v>277</v>
      </c>
      <c r="L47" s="3" t="s">
        <v>50</v>
      </c>
      <c r="M47" s="3" t="s">
        <v>32</v>
      </c>
    </row>
    <row r="48" ht="22.5" customHeight="1">
      <c r="A48" s="3">
        <v>2035787.0</v>
      </c>
      <c r="B48" s="3" t="s">
        <v>557</v>
      </c>
      <c r="C48" s="3" t="s">
        <v>558</v>
      </c>
      <c r="D48" s="3" t="s">
        <v>68</v>
      </c>
      <c r="E48" s="5">
        <v>3234.89</v>
      </c>
      <c r="F48" s="31" t="s">
        <v>452</v>
      </c>
      <c r="G48" s="7">
        <f t="shared" si="1"/>
        <v>2426.1675</v>
      </c>
      <c r="H48" s="3" t="s">
        <v>33</v>
      </c>
      <c r="I48" s="3" t="s">
        <v>74</v>
      </c>
      <c r="J48" s="3" t="s">
        <v>32</v>
      </c>
      <c r="K48" s="3" t="s">
        <v>91</v>
      </c>
      <c r="L48" s="3" t="s">
        <v>74</v>
      </c>
      <c r="M48" s="3" t="s">
        <v>32</v>
      </c>
      <c r="N48" s="3" t="s">
        <v>35</v>
      </c>
      <c r="O48" s="3" t="s">
        <v>74</v>
      </c>
      <c r="P48" s="3" t="s">
        <v>32</v>
      </c>
    </row>
    <row r="49" ht="22.5" customHeight="1">
      <c r="A49" s="3">
        <v>2035523.0</v>
      </c>
      <c r="B49" s="3" t="s">
        <v>559</v>
      </c>
      <c r="C49" s="3" t="s">
        <v>560</v>
      </c>
      <c r="D49" s="3" t="s">
        <v>68</v>
      </c>
      <c r="E49" s="5">
        <v>3977.94</v>
      </c>
      <c r="F49" s="31" t="s">
        <v>452</v>
      </c>
      <c r="G49" s="7">
        <f t="shared" si="1"/>
        <v>2983.455</v>
      </c>
      <c r="H49" s="3" t="s">
        <v>91</v>
      </c>
      <c r="I49" s="3" t="s">
        <v>140</v>
      </c>
      <c r="J49" s="3" t="s">
        <v>32</v>
      </c>
      <c r="K49" s="3" t="s">
        <v>41</v>
      </c>
      <c r="L49" s="3" t="s">
        <v>31</v>
      </c>
      <c r="M49" s="3" t="s">
        <v>32</v>
      </c>
    </row>
    <row r="50" ht="22.5" customHeight="1">
      <c r="A50" s="3">
        <v>2035513.0</v>
      </c>
      <c r="B50" s="3" t="s">
        <v>561</v>
      </c>
      <c r="C50" s="3" t="s">
        <v>562</v>
      </c>
      <c r="D50" s="3" t="s">
        <v>68</v>
      </c>
      <c r="E50" s="5">
        <v>1138.56</v>
      </c>
      <c r="F50" s="31" t="s">
        <v>452</v>
      </c>
      <c r="G50" s="7">
        <f t="shared" si="1"/>
        <v>853.92</v>
      </c>
    </row>
    <row r="51" ht="22.5" customHeight="1">
      <c r="A51" s="3">
        <v>2034937.0</v>
      </c>
      <c r="B51" s="3" t="s">
        <v>563</v>
      </c>
      <c r="C51" s="3" t="s">
        <v>564</v>
      </c>
      <c r="D51" s="3" t="s">
        <v>360</v>
      </c>
      <c r="E51" s="5">
        <v>3252.09</v>
      </c>
      <c r="F51" s="31" t="s">
        <v>452</v>
      </c>
      <c r="G51" s="7">
        <f t="shared" si="1"/>
        <v>2439.0675</v>
      </c>
      <c r="H51" s="3" t="s">
        <v>30</v>
      </c>
      <c r="I51" s="3" t="s">
        <v>31</v>
      </c>
      <c r="J51" s="3" t="s">
        <v>32</v>
      </c>
      <c r="K51" s="3" t="s">
        <v>83</v>
      </c>
      <c r="L51" s="3" t="s">
        <v>84</v>
      </c>
      <c r="M51" s="3" t="s">
        <v>32</v>
      </c>
      <c r="N51" s="3" t="s">
        <v>95</v>
      </c>
      <c r="O51" s="3" t="s">
        <v>44</v>
      </c>
      <c r="P51" s="3" t="s">
        <v>32</v>
      </c>
      <c r="Q51" s="3" t="s">
        <v>36</v>
      </c>
      <c r="R51" s="3" t="s">
        <v>31</v>
      </c>
      <c r="S51" s="3" t="s">
        <v>32</v>
      </c>
      <c r="T51" s="3" t="s">
        <v>37</v>
      </c>
      <c r="U51" s="3" t="s">
        <v>565</v>
      </c>
      <c r="V51" s="3" t="s">
        <v>61</v>
      </c>
    </row>
    <row r="52" ht="22.5" customHeight="1">
      <c r="A52" s="3">
        <v>2034869.0</v>
      </c>
      <c r="B52" s="3" t="s">
        <v>566</v>
      </c>
      <c r="C52" s="3" t="s">
        <v>567</v>
      </c>
      <c r="D52" s="3" t="s">
        <v>360</v>
      </c>
      <c r="E52" s="5">
        <v>462.56</v>
      </c>
      <c r="F52" s="31" t="s">
        <v>452</v>
      </c>
      <c r="G52" s="7">
        <f t="shared" si="1"/>
        <v>346.92</v>
      </c>
      <c r="H52" s="3" t="s">
        <v>36</v>
      </c>
      <c r="I52" s="3" t="s">
        <v>31</v>
      </c>
      <c r="J52" s="3" t="s">
        <v>32</v>
      </c>
      <c r="K52" s="3" t="s">
        <v>37</v>
      </c>
      <c r="L52" s="3" t="s">
        <v>568</v>
      </c>
      <c r="M52" s="3" t="s">
        <v>56</v>
      </c>
    </row>
    <row r="53" ht="22.5" customHeight="1">
      <c r="A53" s="3">
        <v>2034712.0</v>
      </c>
      <c r="B53" s="3" t="s">
        <v>569</v>
      </c>
      <c r="C53" s="3" t="s">
        <v>570</v>
      </c>
      <c r="D53" s="3" t="s">
        <v>360</v>
      </c>
      <c r="E53" s="5">
        <v>10806.35</v>
      </c>
      <c r="F53" s="31" t="s">
        <v>452</v>
      </c>
      <c r="G53" s="7">
        <f t="shared" si="1"/>
        <v>8104.7625</v>
      </c>
    </row>
    <row r="54" ht="22.5" customHeight="1">
      <c r="A54" s="29"/>
      <c r="B54" s="29"/>
      <c r="C54" s="29"/>
      <c r="D54" s="16" t="s">
        <v>238</v>
      </c>
      <c r="E54" s="17">
        <f>SUM(E2:E53)</f>
        <v>155706.07</v>
      </c>
      <c r="F54" s="18" t="s">
        <v>239</v>
      </c>
      <c r="G54" s="19">
        <f>SUM(G2:G53)</f>
        <v>116779.5525</v>
      </c>
      <c r="H54" s="29"/>
      <c r="I54" s="29"/>
      <c r="J54" s="29"/>
      <c r="K54" s="29"/>
      <c r="L54" s="29"/>
      <c r="M54" s="29"/>
      <c r="N54" s="29"/>
      <c r="O54" s="29"/>
      <c r="P54" s="29"/>
      <c r="Q54" s="29"/>
      <c r="R54" s="29"/>
      <c r="S54" s="29"/>
      <c r="T54" s="29"/>
      <c r="U54" s="29"/>
      <c r="V54" s="29"/>
      <c r="W54" s="29"/>
      <c r="X54" s="29"/>
      <c r="Y54" s="29"/>
      <c r="Z54" s="29"/>
      <c r="AA54" s="29"/>
      <c r="AB54" s="29"/>
    </row>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dataValidations>
    <dataValidation type="custom" allowBlank="1" showDropDown="1" sqref="E2:E54 G2:G54">
      <formula1>AND(ISNUMBER(E2),(NOT(OR(NOT(ISERROR(DATEVALUE(E2))), AND(ISNUMBER(E2), LEFT(CELL("format", E2))="D")))))</formula1>
    </dataValidation>
    <dataValidation allowBlank="1" showDropDown="1" sqref="F2:F54"/>
  </dataValidations>
  <printOptions/>
  <pageMargins bottom="1.0" footer="0.0" header="0.0" left="0.75" right="0.75" top="1.0"/>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5.43"/>
    <col customWidth="1" min="2" max="2" width="30.71"/>
    <col customWidth="1" min="3" max="3" width="16.71"/>
    <col customWidth="1" min="4" max="4" width="38.71"/>
    <col customWidth="1" min="5" max="5" width="19.29"/>
    <col customWidth="1" min="6" max="6" width="17.86"/>
    <col customWidth="1" min="7" max="7" width="18.43"/>
    <col customWidth="1" min="8" max="9" width="43.0"/>
    <col customWidth="1" min="10" max="10" width="18.0"/>
    <col customWidth="1" min="11" max="12" width="43.0"/>
    <col customWidth="1" min="13" max="13" width="18.0"/>
    <col customWidth="1" min="14" max="15" width="43.0"/>
    <col customWidth="1" min="16" max="16" width="18.0"/>
    <col customWidth="1" min="17" max="17" width="43.0"/>
    <col customWidth="1" min="18" max="18" width="29.29"/>
    <col customWidth="1" min="19" max="19" width="18.0"/>
    <col customWidth="1" min="20" max="20" width="28.71"/>
    <col customWidth="1" min="21" max="21" width="21.0"/>
    <col customWidth="1" min="22" max="22" width="18.0"/>
    <col customWidth="1" min="23" max="23" width="25.86"/>
    <col customWidth="1" min="24" max="24" width="27.0"/>
    <col customWidth="1" min="25" max="25" width="18.0"/>
    <col customWidth="1" min="26" max="26" width="18.14"/>
    <col customWidth="1" min="27" max="27" width="21.0"/>
    <col customWidth="1" min="28" max="28" width="18.0"/>
    <col customWidth="1" min="29" max="29" width="18.14"/>
    <col customWidth="1" min="30" max="30" width="21.0"/>
    <col customWidth="1" min="31" max="31" width="18.0"/>
    <col customWidth="1" min="32" max="32" width="18.14"/>
    <col customWidth="1" min="33" max="33" width="21.0"/>
    <col customWidth="1" min="34" max="34" width="18.0"/>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340</v>
      </c>
      <c r="AD1" s="1" t="s">
        <v>341</v>
      </c>
      <c r="AE1" s="1" t="s">
        <v>342</v>
      </c>
      <c r="AF1" s="1" t="s">
        <v>571</v>
      </c>
      <c r="AG1" s="1" t="s">
        <v>572</v>
      </c>
      <c r="AH1" s="1" t="s">
        <v>573</v>
      </c>
    </row>
    <row r="2" ht="22.5" customHeight="1">
      <c r="A2" s="3">
        <v>2067549.0</v>
      </c>
      <c r="B2" s="3" t="s">
        <v>574</v>
      </c>
      <c r="C2" s="4">
        <v>5.515991295289E12</v>
      </c>
      <c r="D2" s="3" t="s">
        <v>155</v>
      </c>
      <c r="E2" s="5">
        <v>994.5</v>
      </c>
      <c r="F2" s="6">
        <v>0.25</v>
      </c>
      <c r="G2" s="7">
        <f t="shared" ref="G2:G71" si="1">E2*(1-F2)</f>
        <v>745.875</v>
      </c>
      <c r="H2" s="3" t="s">
        <v>150</v>
      </c>
      <c r="I2" s="3" t="s">
        <v>31</v>
      </c>
      <c r="J2" s="3" t="s">
        <v>32</v>
      </c>
      <c r="K2" s="3" t="s">
        <v>206</v>
      </c>
      <c r="L2" s="3" t="s">
        <v>31</v>
      </c>
      <c r="M2" s="3" t="s">
        <v>32</v>
      </c>
      <c r="N2" s="3" t="s">
        <v>37</v>
      </c>
      <c r="O2" s="3" t="s">
        <v>575</v>
      </c>
      <c r="P2" s="3" t="s">
        <v>56</v>
      </c>
    </row>
    <row r="3" ht="22.5" customHeight="1">
      <c r="A3" s="3">
        <v>2067201.0</v>
      </c>
      <c r="B3" s="3" t="s">
        <v>576</v>
      </c>
      <c r="C3" s="4">
        <v>5.515997154749E12</v>
      </c>
      <c r="D3" s="3" t="s">
        <v>68</v>
      </c>
      <c r="E3" s="5">
        <v>274.56</v>
      </c>
      <c r="F3" s="6">
        <v>0.25</v>
      </c>
      <c r="G3" s="7">
        <f t="shared" si="1"/>
        <v>205.92</v>
      </c>
      <c r="H3" s="3" t="s">
        <v>536</v>
      </c>
      <c r="I3" s="3" t="s">
        <v>440</v>
      </c>
      <c r="J3" s="3" t="s">
        <v>32</v>
      </c>
    </row>
    <row r="4" ht="22.5" customHeight="1">
      <c r="A4" s="3">
        <v>2067186.0</v>
      </c>
      <c r="B4" s="3" t="s">
        <v>577</v>
      </c>
      <c r="C4" s="4">
        <v>5.515996007552E12</v>
      </c>
      <c r="D4" s="3" t="s">
        <v>68</v>
      </c>
      <c r="E4" s="5">
        <v>14450.16</v>
      </c>
      <c r="F4" s="6">
        <v>0.25</v>
      </c>
      <c r="G4" s="7">
        <f t="shared" si="1"/>
        <v>10837.62</v>
      </c>
      <c r="H4" s="3" t="s">
        <v>35</v>
      </c>
      <c r="I4" s="3" t="s">
        <v>185</v>
      </c>
      <c r="J4" s="3" t="s">
        <v>186</v>
      </c>
      <c r="K4" s="3" t="s">
        <v>277</v>
      </c>
      <c r="L4" s="3" t="s">
        <v>44</v>
      </c>
      <c r="M4" s="3" t="s">
        <v>32</v>
      </c>
    </row>
    <row r="5" ht="22.5" customHeight="1">
      <c r="A5" s="3">
        <v>2067156.0</v>
      </c>
      <c r="B5" s="3" t="s">
        <v>578</v>
      </c>
      <c r="C5" s="4">
        <v>5.515997522767E12</v>
      </c>
      <c r="D5" s="3" t="s">
        <v>155</v>
      </c>
      <c r="E5" s="5">
        <v>3535.2</v>
      </c>
      <c r="F5" s="6">
        <v>0.25</v>
      </c>
      <c r="G5" s="7">
        <f t="shared" si="1"/>
        <v>2651.4</v>
      </c>
      <c r="H5" s="3" t="s">
        <v>150</v>
      </c>
      <c r="I5" s="3" t="s">
        <v>31</v>
      </c>
      <c r="J5" s="3" t="s">
        <v>32</v>
      </c>
      <c r="K5" s="3" t="s">
        <v>33</v>
      </c>
      <c r="L5" s="3" t="s">
        <v>140</v>
      </c>
      <c r="M5" s="3" t="s">
        <v>32</v>
      </c>
      <c r="N5" s="3" t="s">
        <v>35</v>
      </c>
      <c r="O5" s="3" t="s">
        <v>140</v>
      </c>
      <c r="P5" s="3" t="s">
        <v>32</v>
      </c>
      <c r="Q5" s="3" t="s">
        <v>143</v>
      </c>
      <c r="R5" s="3" t="s">
        <v>44</v>
      </c>
      <c r="S5" s="3" t="s">
        <v>32</v>
      </c>
    </row>
    <row r="6" ht="22.5" customHeight="1">
      <c r="A6" s="3">
        <v>2067005.0</v>
      </c>
      <c r="B6" s="3" t="s">
        <v>579</v>
      </c>
      <c r="C6" s="4">
        <v>5.515997774546E12</v>
      </c>
      <c r="D6" s="3" t="s">
        <v>580</v>
      </c>
      <c r="E6" s="5">
        <v>3405.12</v>
      </c>
      <c r="F6" s="6">
        <v>0.25</v>
      </c>
      <c r="G6" s="7">
        <f t="shared" si="1"/>
        <v>2553.84</v>
      </c>
      <c r="H6" s="3" t="s">
        <v>33</v>
      </c>
      <c r="I6" s="3" t="s">
        <v>139</v>
      </c>
      <c r="J6" s="3" t="s">
        <v>32</v>
      </c>
      <c r="K6" s="3" t="s">
        <v>91</v>
      </c>
      <c r="L6" s="3" t="s">
        <v>139</v>
      </c>
      <c r="M6" s="3" t="s">
        <v>32</v>
      </c>
      <c r="N6" s="3" t="s">
        <v>35</v>
      </c>
      <c r="O6" s="3" t="s">
        <v>139</v>
      </c>
      <c r="P6" s="3" t="s">
        <v>32</v>
      </c>
      <c r="Q6" s="3" t="s">
        <v>37</v>
      </c>
      <c r="R6" s="3" t="s">
        <v>92</v>
      </c>
      <c r="S6" s="3" t="s">
        <v>32</v>
      </c>
    </row>
    <row r="7" ht="22.5" customHeight="1">
      <c r="A7" s="3">
        <v>2066468.0</v>
      </c>
      <c r="B7" s="3" t="s">
        <v>581</v>
      </c>
      <c r="C7" s="4">
        <v>5.51599267497E12</v>
      </c>
      <c r="D7" s="3" t="s">
        <v>360</v>
      </c>
      <c r="E7" s="5">
        <v>819.93</v>
      </c>
      <c r="F7" s="6">
        <v>0.25</v>
      </c>
      <c r="G7" s="7">
        <f t="shared" si="1"/>
        <v>614.9475</v>
      </c>
      <c r="H7" s="3" t="s">
        <v>150</v>
      </c>
      <c r="I7" s="3" t="s">
        <v>31</v>
      </c>
      <c r="J7" s="3" t="s">
        <v>32</v>
      </c>
      <c r="K7" s="3" t="s">
        <v>108</v>
      </c>
      <c r="L7" s="3" t="s">
        <v>31</v>
      </c>
      <c r="M7" s="3" t="s">
        <v>56</v>
      </c>
      <c r="N7" s="3" t="s">
        <v>36</v>
      </c>
      <c r="O7" s="3" t="s">
        <v>31</v>
      </c>
      <c r="P7" s="3" t="s">
        <v>32</v>
      </c>
      <c r="Q7" s="3" t="s">
        <v>37</v>
      </c>
      <c r="R7" s="3" t="s">
        <v>92</v>
      </c>
      <c r="S7" s="3" t="s">
        <v>32</v>
      </c>
    </row>
    <row r="8" ht="22.5" customHeight="1">
      <c r="A8" s="3">
        <v>2066195.0</v>
      </c>
      <c r="B8" s="3" t="s">
        <v>582</v>
      </c>
      <c r="C8" s="4">
        <v>5.515998363728E12</v>
      </c>
      <c r="D8" s="3" t="s">
        <v>360</v>
      </c>
      <c r="E8" s="5">
        <v>2575.0</v>
      </c>
      <c r="F8" s="6">
        <v>0.25</v>
      </c>
      <c r="G8" s="7">
        <f t="shared" si="1"/>
        <v>1931.25</v>
      </c>
      <c r="H8" s="3" t="s">
        <v>150</v>
      </c>
      <c r="I8" s="3" t="s">
        <v>31</v>
      </c>
      <c r="J8" s="3" t="s">
        <v>32</v>
      </c>
      <c r="K8" s="3" t="s">
        <v>212</v>
      </c>
      <c r="L8" s="3" t="s">
        <v>139</v>
      </c>
      <c r="M8" s="3" t="s">
        <v>32</v>
      </c>
      <c r="N8" s="3" t="s">
        <v>132</v>
      </c>
      <c r="O8" s="3" t="s">
        <v>74</v>
      </c>
      <c r="P8" s="3" t="s">
        <v>32</v>
      </c>
      <c r="Q8" s="3" t="s">
        <v>91</v>
      </c>
      <c r="R8" s="3" t="s">
        <v>104</v>
      </c>
      <c r="S8" s="3" t="s">
        <v>32</v>
      </c>
      <c r="T8" s="3" t="s">
        <v>206</v>
      </c>
      <c r="U8" s="3" t="s">
        <v>31</v>
      </c>
      <c r="V8" s="3" t="s">
        <v>32</v>
      </c>
      <c r="W8" s="3" t="s">
        <v>37</v>
      </c>
      <c r="X8" s="3" t="s">
        <v>583</v>
      </c>
      <c r="Y8" s="3" t="s">
        <v>61</v>
      </c>
    </row>
    <row r="9" ht="22.5" customHeight="1">
      <c r="A9" s="3">
        <v>2066044.0</v>
      </c>
      <c r="B9" s="3" t="s">
        <v>584</v>
      </c>
      <c r="C9" s="4">
        <v>5.515981096206E12</v>
      </c>
      <c r="D9" s="3" t="s">
        <v>89</v>
      </c>
      <c r="E9" s="5">
        <v>799.98</v>
      </c>
      <c r="F9" s="6">
        <v>0.25</v>
      </c>
      <c r="G9" s="7">
        <f t="shared" si="1"/>
        <v>599.985</v>
      </c>
      <c r="H9" s="3" t="s">
        <v>116</v>
      </c>
      <c r="I9" s="3" t="s">
        <v>448</v>
      </c>
      <c r="J9" s="3" t="s">
        <v>56</v>
      </c>
    </row>
    <row r="10" ht="22.5" customHeight="1">
      <c r="A10" s="3">
        <v>2065437.0</v>
      </c>
      <c r="B10" s="3" t="s">
        <v>585</v>
      </c>
      <c r="C10" s="4">
        <v>5.515988604477E12</v>
      </c>
      <c r="D10" s="3" t="s">
        <v>89</v>
      </c>
      <c r="E10" s="5">
        <v>394.81</v>
      </c>
      <c r="F10" s="6">
        <v>0.25</v>
      </c>
      <c r="G10" s="7">
        <f t="shared" si="1"/>
        <v>296.1075</v>
      </c>
      <c r="H10" s="3" t="s">
        <v>59</v>
      </c>
      <c r="I10" s="3" t="s">
        <v>126</v>
      </c>
      <c r="J10" s="3" t="s">
        <v>32</v>
      </c>
    </row>
    <row r="11" ht="22.5" customHeight="1">
      <c r="A11" s="3">
        <v>2065168.0</v>
      </c>
      <c r="B11" s="3" t="s">
        <v>586</v>
      </c>
      <c r="C11" s="4">
        <v>5.511999060772E12</v>
      </c>
      <c r="D11" s="3" t="s">
        <v>29</v>
      </c>
      <c r="E11" s="5">
        <v>294.67</v>
      </c>
      <c r="F11" s="6">
        <v>0.25</v>
      </c>
      <c r="G11" s="7">
        <f t="shared" si="1"/>
        <v>221.0025</v>
      </c>
      <c r="H11" s="3" t="s">
        <v>150</v>
      </c>
      <c r="I11" s="3" t="s">
        <v>31</v>
      </c>
      <c r="J11" s="3" t="s">
        <v>32</v>
      </c>
      <c r="K11" s="3" t="s">
        <v>36</v>
      </c>
      <c r="L11" s="3" t="s">
        <v>31</v>
      </c>
      <c r="M11" s="3" t="s">
        <v>32</v>
      </c>
      <c r="N11" s="3" t="s">
        <v>37</v>
      </c>
      <c r="O11" s="3" t="s">
        <v>131</v>
      </c>
      <c r="P11" s="3" t="s">
        <v>32</v>
      </c>
    </row>
    <row r="12" ht="22.5" customHeight="1">
      <c r="A12" s="3">
        <v>2064470.0</v>
      </c>
      <c r="B12" s="3" t="s">
        <v>587</v>
      </c>
      <c r="C12" s="4">
        <v>5.51195220337E12</v>
      </c>
      <c r="D12" s="3" t="s">
        <v>40</v>
      </c>
      <c r="E12" s="5">
        <v>430.75</v>
      </c>
      <c r="F12" s="6">
        <v>0.25</v>
      </c>
      <c r="G12" s="7">
        <f t="shared" si="1"/>
        <v>323.0625</v>
      </c>
      <c r="H12" s="3" t="s">
        <v>174</v>
      </c>
      <c r="I12" s="3" t="s">
        <v>588</v>
      </c>
      <c r="J12" s="3" t="s">
        <v>32</v>
      </c>
    </row>
    <row r="13" ht="22.5" customHeight="1">
      <c r="A13" s="3">
        <v>2063683.0</v>
      </c>
      <c r="B13" s="3" t="s">
        <v>589</v>
      </c>
      <c r="C13" s="4">
        <v>5.515991887898E12</v>
      </c>
      <c r="D13" s="3" t="s">
        <v>40</v>
      </c>
      <c r="E13" s="5">
        <v>2811.38</v>
      </c>
      <c r="F13" s="6">
        <v>0.25</v>
      </c>
      <c r="G13" s="7">
        <f t="shared" si="1"/>
        <v>2108.535</v>
      </c>
      <c r="H13" s="3" t="s">
        <v>150</v>
      </c>
      <c r="I13" s="3" t="s">
        <v>31</v>
      </c>
      <c r="J13" s="3" t="s">
        <v>32</v>
      </c>
      <c r="K13" s="3" t="s">
        <v>33</v>
      </c>
      <c r="L13" s="3" t="s">
        <v>338</v>
      </c>
      <c r="M13" s="3" t="s">
        <v>32</v>
      </c>
      <c r="N13" s="3" t="s">
        <v>35</v>
      </c>
      <c r="O13" s="3" t="s">
        <v>338</v>
      </c>
      <c r="P13" s="3" t="s">
        <v>32</v>
      </c>
      <c r="Q13" s="3" t="s">
        <v>108</v>
      </c>
      <c r="R13" s="3" t="s">
        <v>31</v>
      </c>
      <c r="S13" s="3" t="s">
        <v>32</v>
      </c>
      <c r="T13" s="3" t="s">
        <v>36</v>
      </c>
      <c r="U13" s="3" t="s">
        <v>31</v>
      </c>
      <c r="V13" s="3" t="s">
        <v>32</v>
      </c>
      <c r="W13" s="3" t="s">
        <v>37</v>
      </c>
      <c r="X13" s="3" t="s">
        <v>590</v>
      </c>
      <c r="Y13" s="3" t="s">
        <v>61</v>
      </c>
    </row>
    <row r="14" ht="22.5" customHeight="1">
      <c r="A14" s="3">
        <v>2062834.0</v>
      </c>
      <c r="B14" s="3" t="s">
        <v>591</v>
      </c>
      <c r="C14" s="4">
        <v>5.515991306687E12</v>
      </c>
      <c r="D14" s="3" t="s">
        <v>81</v>
      </c>
      <c r="E14" s="5">
        <v>5879.76</v>
      </c>
      <c r="F14" s="6">
        <v>0.25</v>
      </c>
      <c r="G14" s="7">
        <f t="shared" si="1"/>
        <v>4409.82</v>
      </c>
      <c r="H14" s="3" t="s">
        <v>150</v>
      </c>
      <c r="I14" s="3" t="s">
        <v>31</v>
      </c>
      <c r="J14" s="3" t="s">
        <v>32</v>
      </c>
      <c r="K14" s="3" t="s">
        <v>36</v>
      </c>
      <c r="L14" s="3" t="s">
        <v>31</v>
      </c>
      <c r="M14" s="3" t="s">
        <v>32</v>
      </c>
      <c r="N14" s="3" t="s">
        <v>37</v>
      </c>
      <c r="O14" s="3" t="s">
        <v>592</v>
      </c>
      <c r="P14" s="3" t="s">
        <v>170</v>
      </c>
      <c r="Q14" s="3" t="s">
        <v>128</v>
      </c>
      <c r="R14" s="3" t="s">
        <v>31</v>
      </c>
      <c r="S14" s="3" t="s">
        <v>32</v>
      </c>
    </row>
    <row r="15" ht="22.5" customHeight="1">
      <c r="A15" s="3">
        <v>2062528.0</v>
      </c>
      <c r="B15" s="3" t="s">
        <v>593</v>
      </c>
      <c r="C15" s="4">
        <v>5.515998469216E12</v>
      </c>
      <c r="D15" s="3" t="s">
        <v>184</v>
      </c>
      <c r="E15" s="5">
        <v>7064.51</v>
      </c>
      <c r="F15" s="6">
        <v>0.25</v>
      </c>
      <c r="G15" s="7">
        <f t="shared" si="1"/>
        <v>5298.3825</v>
      </c>
      <c r="H15" s="3" t="s">
        <v>62</v>
      </c>
      <c r="I15" s="3" t="s">
        <v>594</v>
      </c>
      <c r="J15" s="3" t="s">
        <v>197</v>
      </c>
      <c r="K15" s="3" t="s">
        <v>143</v>
      </c>
      <c r="L15" s="3" t="s">
        <v>50</v>
      </c>
      <c r="M15" s="3" t="s">
        <v>32</v>
      </c>
      <c r="N15" s="3" t="s">
        <v>123</v>
      </c>
      <c r="O15" s="3" t="s">
        <v>50</v>
      </c>
      <c r="P15" s="3" t="s">
        <v>32</v>
      </c>
      <c r="Q15" s="3" t="s">
        <v>165</v>
      </c>
      <c r="R15" s="3" t="s">
        <v>135</v>
      </c>
      <c r="S15" s="3" t="s">
        <v>56</v>
      </c>
    </row>
    <row r="16" ht="22.5" customHeight="1">
      <c r="A16" s="3">
        <v>2062097.0</v>
      </c>
      <c r="B16" s="3" t="s">
        <v>595</v>
      </c>
      <c r="C16" s="4">
        <v>5.515998616393E12</v>
      </c>
      <c r="D16" s="3" t="s">
        <v>58</v>
      </c>
      <c r="E16" s="5">
        <v>2116.13</v>
      </c>
      <c r="F16" s="6">
        <v>0.25</v>
      </c>
      <c r="G16" s="7">
        <f t="shared" si="1"/>
        <v>1587.0975</v>
      </c>
      <c r="H16" s="3" t="s">
        <v>150</v>
      </c>
      <c r="I16" s="3" t="s">
        <v>31</v>
      </c>
      <c r="J16" s="3" t="s">
        <v>32</v>
      </c>
      <c r="K16" s="3" t="s">
        <v>130</v>
      </c>
      <c r="L16" s="3" t="s">
        <v>74</v>
      </c>
      <c r="M16" s="3" t="s">
        <v>32</v>
      </c>
      <c r="N16" s="3" t="s">
        <v>108</v>
      </c>
      <c r="O16" s="3" t="s">
        <v>31</v>
      </c>
      <c r="P16" s="3" t="s">
        <v>32</v>
      </c>
      <c r="Q16" s="3" t="s">
        <v>37</v>
      </c>
      <c r="R16" s="3" t="s">
        <v>596</v>
      </c>
      <c r="S16" s="3" t="s">
        <v>61</v>
      </c>
    </row>
    <row r="17" ht="22.5" customHeight="1">
      <c r="A17" s="3">
        <v>2061897.0</v>
      </c>
      <c r="B17" s="3" t="s">
        <v>597</v>
      </c>
      <c r="C17" s="4">
        <v>5.515988123022E12</v>
      </c>
      <c r="D17" s="3" t="s">
        <v>58</v>
      </c>
      <c r="E17" s="5">
        <v>1759.26</v>
      </c>
      <c r="F17" s="6">
        <v>0.25</v>
      </c>
      <c r="G17" s="7">
        <f t="shared" si="1"/>
        <v>1319.445</v>
      </c>
      <c r="H17" s="3" t="s">
        <v>132</v>
      </c>
      <c r="I17" s="3" t="s">
        <v>431</v>
      </c>
      <c r="J17" s="3" t="s">
        <v>32</v>
      </c>
      <c r="K17" s="3" t="s">
        <v>108</v>
      </c>
      <c r="L17" s="3" t="s">
        <v>31</v>
      </c>
      <c r="M17" s="3" t="s">
        <v>32</v>
      </c>
      <c r="N17" s="3" t="s">
        <v>37</v>
      </c>
      <c r="O17" s="3" t="s">
        <v>598</v>
      </c>
      <c r="P17" s="3" t="s">
        <v>61</v>
      </c>
    </row>
    <row r="18" ht="22.5" customHeight="1">
      <c r="A18" s="3">
        <v>2061302.0</v>
      </c>
      <c r="B18" s="3" t="s">
        <v>579</v>
      </c>
      <c r="C18" s="4">
        <v>5.515997774546E12</v>
      </c>
      <c r="D18" s="3" t="s">
        <v>40</v>
      </c>
      <c r="E18" s="5">
        <v>1110.45</v>
      </c>
      <c r="F18" s="6">
        <v>0.25</v>
      </c>
      <c r="G18" s="7">
        <f t="shared" si="1"/>
        <v>832.8375</v>
      </c>
    </row>
    <row r="19" ht="22.5" customHeight="1">
      <c r="A19" s="3">
        <v>2061023.0</v>
      </c>
      <c r="B19" s="3" t="s">
        <v>599</v>
      </c>
      <c r="C19" s="4">
        <v>5.515991452062E12</v>
      </c>
      <c r="D19" s="3" t="s">
        <v>81</v>
      </c>
      <c r="E19" s="5">
        <v>1225.0</v>
      </c>
      <c r="F19" s="6">
        <v>0.25</v>
      </c>
      <c r="G19" s="7">
        <f t="shared" si="1"/>
        <v>918.75</v>
      </c>
      <c r="H19" s="3" t="s">
        <v>108</v>
      </c>
      <c r="I19" s="3" t="s">
        <v>31</v>
      </c>
      <c r="J19" s="3" t="s">
        <v>56</v>
      </c>
      <c r="K19" s="3" t="s">
        <v>37</v>
      </c>
      <c r="L19" s="3" t="s">
        <v>600</v>
      </c>
      <c r="M19" s="3" t="s">
        <v>170</v>
      </c>
    </row>
    <row r="20" ht="22.5" customHeight="1">
      <c r="A20" s="3">
        <v>2059444.0</v>
      </c>
      <c r="B20" s="3" t="s">
        <v>601</v>
      </c>
      <c r="C20" s="4">
        <v>5.515991572815E12</v>
      </c>
      <c r="D20" s="3" t="s">
        <v>40</v>
      </c>
      <c r="E20" s="5">
        <v>3951.92</v>
      </c>
      <c r="F20" s="6">
        <v>0.25</v>
      </c>
      <c r="G20" s="7">
        <f t="shared" si="1"/>
        <v>2963.94</v>
      </c>
      <c r="H20" s="3" t="s">
        <v>87</v>
      </c>
      <c r="I20" s="3" t="s">
        <v>31</v>
      </c>
      <c r="J20" s="3" t="s">
        <v>32</v>
      </c>
      <c r="K20" s="3" t="s">
        <v>59</v>
      </c>
      <c r="L20" s="3" t="s">
        <v>602</v>
      </c>
      <c r="M20" s="3" t="s">
        <v>56</v>
      </c>
      <c r="N20" s="3" t="s">
        <v>41</v>
      </c>
      <c r="O20" s="3" t="s">
        <v>31</v>
      </c>
      <c r="P20" s="3" t="s">
        <v>32</v>
      </c>
    </row>
    <row r="21" ht="22.5" customHeight="1">
      <c r="A21" s="3">
        <v>2059054.0</v>
      </c>
      <c r="B21" s="3" t="s">
        <v>603</v>
      </c>
      <c r="C21" s="4">
        <v>5.515991306687E12</v>
      </c>
      <c r="D21" s="3" t="s">
        <v>81</v>
      </c>
      <c r="E21" s="5">
        <v>3650.0</v>
      </c>
      <c r="F21" s="6">
        <v>0.25</v>
      </c>
      <c r="G21" s="7">
        <f t="shared" si="1"/>
        <v>2737.5</v>
      </c>
      <c r="H21" s="3" t="s">
        <v>41</v>
      </c>
      <c r="I21" s="3" t="s">
        <v>31</v>
      </c>
      <c r="J21" s="3" t="s">
        <v>32</v>
      </c>
    </row>
    <row r="22" ht="22.5" customHeight="1">
      <c r="A22" s="3">
        <v>2058652.0</v>
      </c>
      <c r="B22" s="3" t="s">
        <v>537</v>
      </c>
      <c r="D22" s="3" t="s">
        <v>68</v>
      </c>
      <c r="E22" s="5">
        <v>786.29</v>
      </c>
      <c r="F22" s="6">
        <v>0.25</v>
      </c>
      <c r="G22" s="7">
        <f t="shared" si="1"/>
        <v>589.7175</v>
      </c>
      <c r="H22" s="3" t="s">
        <v>203</v>
      </c>
      <c r="I22" s="3" t="s">
        <v>221</v>
      </c>
      <c r="J22" s="3" t="s">
        <v>32</v>
      </c>
      <c r="K22" s="3" t="s">
        <v>37</v>
      </c>
      <c r="L22" s="3" t="s">
        <v>221</v>
      </c>
      <c r="M22" s="3" t="s">
        <v>32</v>
      </c>
    </row>
    <row r="23" ht="22.5" customHeight="1">
      <c r="A23" s="3">
        <v>2058270.0</v>
      </c>
      <c r="B23" s="3" t="s">
        <v>604</v>
      </c>
      <c r="C23" s="4">
        <v>5.515991549352E12</v>
      </c>
      <c r="D23" s="3" t="s">
        <v>40</v>
      </c>
      <c r="E23" s="5">
        <v>7809.86</v>
      </c>
      <c r="F23" s="6">
        <v>0.25</v>
      </c>
      <c r="G23" s="7">
        <f t="shared" si="1"/>
        <v>5857.395</v>
      </c>
      <c r="H23" s="3" t="s">
        <v>95</v>
      </c>
      <c r="I23" s="3" t="s">
        <v>44</v>
      </c>
      <c r="J23" s="3" t="s">
        <v>32</v>
      </c>
      <c r="K23" s="3" t="s">
        <v>301</v>
      </c>
      <c r="L23" s="3" t="s">
        <v>31</v>
      </c>
      <c r="M23" s="3" t="s">
        <v>32</v>
      </c>
    </row>
    <row r="24" ht="22.5" customHeight="1">
      <c r="A24" s="3">
        <v>2057525.0</v>
      </c>
      <c r="B24" s="3" t="s">
        <v>605</v>
      </c>
      <c r="C24" s="4">
        <v>5.515998500072E12</v>
      </c>
      <c r="D24" s="3" t="s">
        <v>155</v>
      </c>
      <c r="E24" s="5">
        <v>2973.26</v>
      </c>
      <c r="F24" s="6">
        <v>0.25</v>
      </c>
      <c r="G24" s="7">
        <f t="shared" si="1"/>
        <v>2229.945</v>
      </c>
      <c r="H24" s="3" t="s">
        <v>33</v>
      </c>
      <c r="I24" s="3" t="s">
        <v>199</v>
      </c>
      <c r="J24" s="3" t="s">
        <v>32</v>
      </c>
      <c r="K24" s="3" t="s">
        <v>35</v>
      </c>
      <c r="L24" s="3" t="s">
        <v>199</v>
      </c>
      <c r="M24" s="3" t="s">
        <v>32</v>
      </c>
    </row>
    <row r="25" ht="22.5" customHeight="1">
      <c r="A25" s="3">
        <v>2057181.0</v>
      </c>
      <c r="B25" s="3" t="s">
        <v>606</v>
      </c>
      <c r="C25" s="4">
        <v>5.515988126286E12</v>
      </c>
      <c r="D25" s="3" t="s">
        <v>40</v>
      </c>
      <c r="E25" s="5">
        <v>3143.49</v>
      </c>
      <c r="F25" s="6">
        <v>0.25</v>
      </c>
      <c r="G25" s="7">
        <f t="shared" si="1"/>
        <v>2357.6175</v>
      </c>
      <c r="H25" s="3" t="s">
        <v>33</v>
      </c>
      <c r="I25" s="3" t="s">
        <v>84</v>
      </c>
      <c r="J25" s="3" t="s">
        <v>32</v>
      </c>
      <c r="K25" s="3" t="s">
        <v>35</v>
      </c>
      <c r="L25" s="3" t="s">
        <v>84</v>
      </c>
      <c r="M25" s="3" t="s">
        <v>32</v>
      </c>
      <c r="N25" s="3" t="s">
        <v>37</v>
      </c>
      <c r="O25" s="3" t="s">
        <v>34</v>
      </c>
      <c r="P25" s="3" t="s">
        <v>32</v>
      </c>
    </row>
    <row r="26" ht="22.5" customHeight="1">
      <c r="A26" s="3">
        <v>2057071.0</v>
      </c>
      <c r="B26" s="3" t="s">
        <v>607</v>
      </c>
      <c r="C26" s="4">
        <v>5.515996342866E12</v>
      </c>
      <c r="D26" s="3" t="s">
        <v>580</v>
      </c>
      <c r="E26" s="5">
        <v>2480.64</v>
      </c>
      <c r="F26" s="6">
        <v>0.25</v>
      </c>
      <c r="G26" s="7">
        <f t="shared" si="1"/>
        <v>1860.48</v>
      </c>
      <c r="H26" s="3" t="s">
        <v>150</v>
      </c>
      <c r="I26" s="3" t="s">
        <v>31</v>
      </c>
      <c r="J26" s="3" t="s">
        <v>32</v>
      </c>
      <c r="K26" s="3" t="s">
        <v>165</v>
      </c>
      <c r="L26" s="3" t="s">
        <v>135</v>
      </c>
      <c r="M26" s="3" t="s">
        <v>56</v>
      </c>
    </row>
    <row r="27" ht="22.5" customHeight="1">
      <c r="A27" s="3">
        <v>2056966.0</v>
      </c>
      <c r="B27" s="3" t="s">
        <v>369</v>
      </c>
      <c r="C27" s="4">
        <v>5.515997017391E12</v>
      </c>
      <c r="D27" s="3" t="s">
        <v>580</v>
      </c>
      <c r="E27" s="5">
        <v>2671.25</v>
      </c>
      <c r="F27" s="6">
        <v>0.25</v>
      </c>
      <c r="G27" s="7">
        <f t="shared" si="1"/>
        <v>2003.4375</v>
      </c>
      <c r="H27" s="3" t="s">
        <v>150</v>
      </c>
      <c r="I27" s="3" t="s">
        <v>31</v>
      </c>
      <c r="J27" s="3" t="s">
        <v>32</v>
      </c>
      <c r="K27" s="3" t="s">
        <v>91</v>
      </c>
      <c r="L27" s="3" t="s">
        <v>338</v>
      </c>
      <c r="M27" s="3" t="s">
        <v>32</v>
      </c>
      <c r="N27" s="3" t="s">
        <v>108</v>
      </c>
      <c r="O27" s="3" t="s">
        <v>31</v>
      </c>
      <c r="P27" s="3" t="s">
        <v>32</v>
      </c>
      <c r="Q27" s="3" t="s">
        <v>143</v>
      </c>
      <c r="R27" s="3" t="s">
        <v>44</v>
      </c>
      <c r="S27" s="3" t="s">
        <v>32</v>
      </c>
      <c r="T27" s="3" t="s">
        <v>36</v>
      </c>
      <c r="U27" s="3" t="s">
        <v>31</v>
      </c>
      <c r="V27" s="3" t="s">
        <v>32</v>
      </c>
      <c r="W27" s="3" t="s">
        <v>37</v>
      </c>
      <c r="X27" s="3" t="s">
        <v>608</v>
      </c>
      <c r="Y27" s="3" t="s">
        <v>70</v>
      </c>
    </row>
    <row r="28" ht="22.5" customHeight="1">
      <c r="A28" s="3">
        <v>2056939.0</v>
      </c>
      <c r="B28" s="3" t="s">
        <v>609</v>
      </c>
      <c r="C28" s="4">
        <v>5.515981294851E12</v>
      </c>
      <c r="D28" s="3" t="s">
        <v>40</v>
      </c>
      <c r="E28" s="5">
        <v>9088.26</v>
      </c>
      <c r="F28" s="6">
        <v>0.25</v>
      </c>
      <c r="G28" s="7">
        <f t="shared" si="1"/>
        <v>6816.195</v>
      </c>
      <c r="H28" s="3" t="s">
        <v>62</v>
      </c>
      <c r="I28" s="3" t="s">
        <v>610</v>
      </c>
      <c r="J28" s="3" t="s">
        <v>197</v>
      </c>
      <c r="K28" s="3" t="s">
        <v>611</v>
      </c>
      <c r="L28" s="3" t="s">
        <v>31</v>
      </c>
      <c r="M28" s="3" t="s">
        <v>32</v>
      </c>
      <c r="N28" s="3" t="s">
        <v>143</v>
      </c>
      <c r="O28" s="3" t="s">
        <v>135</v>
      </c>
      <c r="P28" s="3" t="s">
        <v>56</v>
      </c>
      <c r="Q28" s="3" t="s">
        <v>123</v>
      </c>
      <c r="R28" s="3" t="s">
        <v>135</v>
      </c>
      <c r="S28" s="3" t="s">
        <v>56</v>
      </c>
      <c r="T28" s="3" t="s">
        <v>37</v>
      </c>
      <c r="U28" s="3" t="s">
        <v>612</v>
      </c>
      <c r="V28" s="3" t="s">
        <v>197</v>
      </c>
    </row>
    <row r="29" ht="22.5" customHeight="1">
      <c r="A29" s="3">
        <v>2056696.0</v>
      </c>
      <c r="B29" s="3" t="s">
        <v>613</v>
      </c>
      <c r="C29" s="4">
        <v>5.51599803828E12</v>
      </c>
      <c r="D29" s="3" t="s">
        <v>81</v>
      </c>
      <c r="E29" s="5">
        <v>4095.91</v>
      </c>
      <c r="F29" s="6">
        <v>0.25</v>
      </c>
      <c r="G29" s="7">
        <f t="shared" si="1"/>
        <v>3071.9325</v>
      </c>
      <c r="H29" s="3" t="s">
        <v>150</v>
      </c>
      <c r="I29" s="3" t="s">
        <v>31</v>
      </c>
      <c r="J29" s="3" t="s">
        <v>32</v>
      </c>
      <c r="K29" s="3" t="s">
        <v>33</v>
      </c>
      <c r="L29" s="3" t="s">
        <v>614</v>
      </c>
      <c r="M29" s="3" t="s">
        <v>32</v>
      </c>
      <c r="N29" s="3" t="s">
        <v>615</v>
      </c>
      <c r="O29" s="3" t="s">
        <v>614</v>
      </c>
      <c r="P29" s="3" t="s">
        <v>32</v>
      </c>
      <c r="Q29" s="3" t="s">
        <v>59</v>
      </c>
      <c r="R29" s="3" t="s">
        <v>588</v>
      </c>
      <c r="S29" s="3" t="s">
        <v>32</v>
      </c>
      <c r="T29" s="3" t="s">
        <v>62</v>
      </c>
      <c r="U29" s="3" t="s">
        <v>614</v>
      </c>
      <c r="V29" s="3" t="s">
        <v>32</v>
      </c>
      <c r="W29" s="3" t="s">
        <v>35</v>
      </c>
      <c r="X29" s="3" t="s">
        <v>614</v>
      </c>
      <c r="Y29" s="3" t="s">
        <v>32</v>
      </c>
      <c r="Z29" s="3" t="s">
        <v>206</v>
      </c>
      <c r="AA29" s="3" t="s">
        <v>31</v>
      </c>
      <c r="AB29" s="3" t="s">
        <v>32</v>
      </c>
    </row>
    <row r="30" ht="22.5" customHeight="1">
      <c r="A30" s="3">
        <v>2055513.0</v>
      </c>
      <c r="B30" s="3" t="s">
        <v>616</v>
      </c>
      <c r="C30" s="4">
        <v>5.515991864184E12</v>
      </c>
      <c r="D30" s="3" t="s">
        <v>89</v>
      </c>
      <c r="E30" s="5">
        <v>8795.3</v>
      </c>
      <c r="F30" s="6">
        <v>0.25</v>
      </c>
      <c r="G30" s="7">
        <f t="shared" si="1"/>
        <v>6596.475</v>
      </c>
      <c r="H30" s="3" t="s">
        <v>35</v>
      </c>
      <c r="I30" s="3" t="s">
        <v>617</v>
      </c>
      <c r="J30" s="3" t="s">
        <v>56</v>
      </c>
      <c r="K30" s="3" t="s">
        <v>445</v>
      </c>
      <c r="L30" s="3" t="s">
        <v>50</v>
      </c>
      <c r="M30" s="3" t="s">
        <v>32</v>
      </c>
    </row>
    <row r="31" ht="22.5" customHeight="1">
      <c r="A31" s="3">
        <v>2054810.0</v>
      </c>
      <c r="B31" s="3" t="s">
        <v>618</v>
      </c>
      <c r="C31" s="4">
        <v>5.515996776774E12</v>
      </c>
      <c r="D31" s="3" t="s">
        <v>89</v>
      </c>
      <c r="E31" s="5">
        <v>1724.5</v>
      </c>
      <c r="F31" s="6">
        <v>0.25</v>
      </c>
      <c r="G31" s="7">
        <f t="shared" si="1"/>
        <v>1293.375</v>
      </c>
      <c r="H31" s="3" t="s">
        <v>143</v>
      </c>
      <c r="I31" s="3" t="s">
        <v>50</v>
      </c>
      <c r="J31" s="3" t="s">
        <v>32</v>
      </c>
    </row>
    <row r="32" ht="22.5" customHeight="1">
      <c r="A32" s="3">
        <v>2054801.0</v>
      </c>
      <c r="B32" s="3" t="s">
        <v>619</v>
      </c>
      <c r="C32" s="4">
        <v>5.515997312723E12</v>
      </c>
      <c r="D32" s="3" t="s">
        <v>40</v>
      </c>
      <c r="E32" s="5">
        <v>14543.53</v>
      </c>
      <c r="F32" s="6">
        <v>0.25</v>
      </c>
      <c r="G32" s="7">
        <f t="shared" si="1"/>
        <v>10907.6475</v>
      </c>
      <c r="H32" s="3" t="s">
        <v>150</v>
      </c>
      <c r="I32" s="3" t="s">
        <v>31</v>
      </c>
      <c r="J32" s="3" t="s">
        <v>32</v>
      </c>
      <c r="K32" s="3" t="s">
        <v>370</v>
      </c>
      <c r="L32" s="3" t="s">
        <v>620</v>
      </c>
      <c r="M32" s="3" t="s">
        <v>186</v>
      </c>
      <c r="N32" s="3" t="s">
        <v>489</v>
      </c>
      <c r="O32" s="3" t="s">
        <v>44</v>
      </c>
      <c r="P32" s="3" t="s">
        <v>32</v>
      </c>
      <c r="Q32" s="3" t="s">
        <v>62</v>
      </c>
      <c r="R32" s="3" t="s">
        <v>84</v>
      </c>
      <c r="S32" s="3" t="s">
        <v>32</v>
      </c>
      <c r="T32" s="3" t="s">
        <v>116</v>
      </c>
      <c r="U32" s="3" t="s">
        <v>225</v>
      </c>
      <c r="V32" s="3" t="s">
        <v>32</v>
      </c>
      <c r="W32" s="3" t="s">
        <v>133</v>
      </c>
      <c r="X32" s="3" t="s">
        <v>621</v>
      </c>
      <c r="Y32" s="3" t="s">
        <v>170</v>
      </c>
      <c r="Z32" s="3" t="s">
        <v>48</v>
      </c>
      <c r="AA32" s="3" t="s">
        <v>135</v>
      </c>
      <c r="AB32" s="3" t="s">
        <v>56</v>
      </c>
      <c r="AC32" s="3" t="s">
        <v>37</v>
      </c>
      <c r="AD32" s="3" t="s">
        <v>622</v>
      </c>
      <c r="AE32" s="3" t="s">
        <v>186</v>
      </c>
    </row>
    <row r="33" ht="22.5" customHeight="1">
      <c r="A33" s="3">
        <v>2054768.0</v>
      </c>
      <c r="B33" s="3" t="s">
        <v>623</v>
      </c>
      <c r="C33" s="4">
        <v>5.51599842508E12</v>
      </c>
      <c r="D33" s="3" t="s">
        <v>40</v>
      </c>
      <c r="E33" s="5">
        <v>1129.87</v>
      </c>
      <c r="F33" s="6">
        <v>0.25</v>
      </c>
      <c r="G33" s="7">
        <f t="shared" si="1"/>
        <v>847.4025</v>
      </c>
      <c r="H33" s="3" t="s">
        <v>66</v>
      </c>
      <c r="I33" s="3" t="s">
        <v>31</v>
      </c>
      <c r="J33" s="3" t="s">
        <v>32</v>
      </c>
      <c r="K33" s="3" t="s">
        <v>168</v>
      </c>
      <c r="L33" s="3" t="s">
        <v>31</v>
      </c>
      <c r="M33" s="3" t="s">
        <v>32</v>
      </c>
      <c r="N33" s="3" t="s">
        <v>458</v>
      </c>
      <c r="O33" s="3" t="s">
        <v>135</v>
      </c>
      <c r="P33" s="3" t="s">
        <v>32</v>
      </c>
    </row>
    <row r="34" ht="22.5" customHeight="1">
      <c r="A34" s="3">
        <v>2054405.0</v>
      </c>
      <c r="B34" s="3" t="s">
        <v>624</v>
      </c>
      <c r="C34" s="4">
        <v>5.515997207026E12</v>
      </c>
      <c r="D34" s="3" t="s">
        <v>68</v>
      </c>
      <c r="E34" s="5">
        <v>13784.14</v>
      </c>
      <c r="F34" s="6">
        <v>0.25</v>
      </c>
      <c r="G34" s="7">
        <f t="shared" si="1"/>
        <v>10338.105</v>
      </c>
      <c r="H34" s="3" t="s">
        <v>33</v>
      </c>
      <c r="I34" s="3" t="s">
        <v>625</v>
      </c>
      <c r="J34" s="3" t="s">
        <v>170</v>
      </c>
      <c r="K34" s="3" t="s">
        <v>62</v>
      </c>
      <c r="L34" s="3" t="s">
        <v>626</v>
      </c>
      <c r="M34" s="3" t="s">
        <v>56</v>
      </c>
      <c r="N34" s="3" t="s">
        <v>35</v>
      </c>
      <c r="O34" s="3" t="s">
        <v>627</v>
      </c>
      <c r="P34" s="3" t="s">
        <v>70</v>
      </c>
    </row>
    <row r="35" ht="22.5" customHeight="1">
      <c r="A35" s="3">
        <v>2054328.0</v>
      </c>
      <c r="B35" s="3" t="s">
        <v>628</v>
      </c>
      <c r="C35" s="4">
        <v>5.515981186586E12</v>
      </c>
      <c r="D35" s="3" t="s">
        <v>184</v>
      </c>
      <c r="E35" s="5">
        <v>1715.85</v>
      </c>
      <c r="F35" s="6">
        <v>0.25</v>
      </c>
      <c r="G35" s="7">
        <f t="shared" si="1"/>
        <v>1286.8875</v>
      </c>
      <c r="H35" s="3" t="s">
        <v>62</v>
      </c>
      <c r="I35" s="3" t="s">
        <v>629</v>
      </c>
      <c r="J35" s="3" t="s">
        <v>61</v>
      </c>
      <c r="K35" s="3" t="s">
        <v>165</v>
      </c>
      <c r="L35" s="3" t="s">
        <v>50</v>
      </c>
      <c r="M35" s="3" t="s">
        <v>32</v>
      </c>
    </row>
    <row r="36" ht="22.5" customHeight="1">
      <c r="A36" s="3">
        <v>2053912.0</v>
      </c>
      <c r="B36" s="3" t="s">
        <v>630</v>
      </c>
      <c r="C36" s="4">
        <v>5.511947108808E12</v>
      </c>
      <c r="D36" s="3" t="s">
        <v>184</v>
      </c>
      <c r="E36" s="5">
        <v>2358.67</v>
      </c>
      <c r="F36" s="6">
        <v>0.25</v>
      </c>
      <c r="G36" s="7">
        <f t="shared" si="1"/>
        <v>1769.0025</v>
      </c>
      <c r="H36" s="3" t="s">
        <v>165</v>
      </c>
      <c r="I36" s="3" t="s">
        <v>135</v>
      </c>
      <c r="J36" s="3" t="s">
        <v>56</v>
      </c>
    </row>
    <row r="37" ht="22.5" customHeight="1">
      <c r="A37" s="3">
        <v>2053755.0</v>
      </c>
      <c r="B37" s="3" t="s">
        <v>631</v>
      </c>
      <c r="C37" s="4">
        <v>5.515991555532E12</v>
      </c>
      <c r="D37" s="3" t="s">
        <v>360</v>
      </c>
      <c r="E37" s="5">
        <v>4971.25</v>
      </c>
      <c r="F37" s="6">
        <v>0.25</v>
      </c>
      <c r="G37" s="7">
        <f t="shared" si="1"/>
        <v>3728.4375</v>
      </c>
      <c r="H37" s="3" t="s">
        <v>632</v>
      </c>
      <c r="I37" s="3" t="s">
        <v>44</v>
      </c>
      <c r="J37" s="3" t="s">
        <v>32</v>
      </c>
      <c r="K37" s="3" t="s">
        <v>633</v>
      </c>
      <c r="L37" s="3" t="s">
        <v>72</v>
      </c>
      <c r="M37" s="3" t="s">
        <v>70</v>
      </c>
      <c r="N37" s="3" t="s">
        <v>41</v>
      </c>
      <c r="O37" s="3" t="s">
        <v>31</v>
      </c>
      <c r="P37" s="3" t="s">
        <v>32</v>
      </c>
      <c r="Q37" s="3" t="s">
        <v>634</v>
      </c>
      <c r="R37" s="3" t="s">
        <v>31</v>
      </c>
      <c r="S37" s="3" t="s">
        <v>32</v>
      </c>
    </row>
    <row r="38" ht="22.5" customHeight="1">
      <c r="A38" s="3">
        <v>2053291.0</v>
      </c>
      <c r="B38" s="3" t="s">
        <v>635</v>
      </c>
      <c r="C38" s="4">
        <v>5.515996751236E12</v>
      </c>
      <c r="D38" s="3" t="s">
        <v>360</v>
      </c>
      <c r="E38" s="5">
        <v>8622.52</v>
      </c>
      <c r="F38" s="6">
        <v>0.25</v>
      </c>
      <c r="G38" s="7">
        <f t="shared" si="1"/>
        <v>6466.89</v>
      </c>
      <c r="H38" s="3" t="s">
        <v>277</v>
      </c>
      <c r="I38" s="3" t="s">
        <v>50</v>
      </c>
      <c r="J38" s="3" t="s">
        <v>32</v>
      </c>
      <c r="K38" s="3" t="s">
        <v>165</v>
      </c>
      <c r="L38" s="3" t="s">
        <v>50</v>
      </c>
      <c r="M38" s="3" t="s">
        <v>32</v>
      </c>
    </row>
    <row r="39" ht="22.5" customHeight="1">
      <c r="A39" s="3">
        <v>2053161.0</v>
      </c>
      <c r="B39" s="3" t="s">
        <v>636</v>
      </c>
      <c r="C39" s="4">
        <v>5.515988313696E12</v>
      </c>
      <c r="D39" s="3" t="s">
        <v>296</v>
      </c>
      <c r="E39" s="5">
        <v>1609.05</v>
      </c>
      <c r="F39" s="6">
        <v>0.25</v>
      </c>
      <c r="G39" s="7">
        <f t="shared" si="1"/>
        <v>1206.7875</v>
      </c>
      <c r="H39" s="3" t="s">
        <v>59</v>
      </c>
      <c r="I39" s="3" t="s">
        <v>307</v>
      </c>
      <c r="J39" s="3" t="s">
        <v>70</v>
      </c>
    </row>
    <row r="40" ht="22.5" customHeight="1">
      <c r="A40" s="3">
        <v>2053045.0</v>
      </c>
      <c r="B40" s="3" t="s">
        <v>385</v>
      </c>
      <c r="C40" s="4">
        <v>5.515988098869E12</v>
      </c>
      <c r="D40" s="3" t="s">
        <v>58</v>
      </c>
      <c r="E40" s="5">
        <v>1240.51</v>
      </c>
      <c r="F40" s="6">
        <v>0.25</v>
      </c>
      <c r="G40" s="7">
        <f t="shared" si="1"/>
        <v>930.3825</v>
      </c>
      <c r="H40" s="3" t="s">
        <v>37</v>
      </c>
      <c r="I40" s="3" t="s">
        <v>338</v>
      </c>
      <c r="J40" s="3" t="s">
        <v>32</v>
      </c>
      <c r="K40" s="3" t="s">
        <v>171</v>
      </c>
      <c r="L40" s="3" t="s">
        <v>338</v>
      </c>
      <c r="M40" s="3" t="s">
        <v>32</v>
      </c>
    </row>
    <row r="41" ht="22.5" customHeight="1">
      <c r="A41" s="3">
        <v>2052661.0</v>
      </c>
      <c r="B41" s="3" t="s">
        <v>637</v>
      </c>
      <c r="C41" s="4">
        <v>5.515997922428E12</v>
      </c>
      <c r="D41" s="3" t="s">
        <v>89</v>
      </c>
      <c r="E41" s="5">
        <v>11825.4</v>
      </c>
      <c r="F41" s="6">
        <v>0.25</v>
      </c>
      <c r="G41" s="7">
        <f t="shared" si="1"/>
        <v>8869.05</v>
      </c>
      <c r="H41" s="3" t="s">
        <v>83</v>
      </c>
      <c r="I41" s="3" t="s">
        <v>614</v>
      </c>
      <c r="J41" s="3" t="s">
        <v>32</v>
      </c>
      <c r="K41" s="3" t="s">
        <v>33</v>
      </c>
      <c r="L41" s="3" t="s">
        <v>638</v>
      </c>
      <c r="M41" s="3" t="s">
        <v>61</v>
      </c>
      <c r="N41" s="3" t="s">
        <v>212</v>
      </c>
      <c r="O41" s="3" t="s">
        <v>614</v>
      </c>
      <c r="P41" s="3" t="s">
        <v>32</v>
      </c>
      <c r="Q41" s="3" t="s">
        <v>35</v>
      </c>
      <c r="R41" s="3" t="s">
        <v>638</v>
      </c>
      <c r="S41" s="3" t="s">
        <v>61</v>
      </c>
      <c r="T41" s="3" t="s">
        <v>85</v>
      </c>
      <c r="U41" s="3" t="s">
        <v>614</v>
      </c>
      <c r="V41" s="3" t="s">
        <v>32</v>
      </c>
      <c r="W41" s="3" t="s">
        <v>37</v>
      </c>
      <c r="X41" s="3" t="s">
        <v>639</v>
      </c>
      <c r="Y41" s="3" t="s">
        <v>32</v>
      </c>
    </row>
    <row r="42" ht="22.5" customHeight="1">
      <c r="A42" s="3">
        <v>2052507.0</v>
      </c>
      <c r="B42" s="3" t="s">
        <v>640</v>
      </c>
      <c r="C42" s="4">
        <v>5.521968737117E12</v>
      </c>
      <c r="D42" s="3" t="s">
        <v>81</v>
      </c>
      <c r="E42" s="5">
        <v>4213.87</v>
      </c>
      <c r="F42" s="6">
        <v>0.25</v>
      </c>
      <c r="G42" s="7">
        <f t="shared" si="1"/>
        <v>3160.4025</v>
      </c>
      <c r="H42" s="3" t="s">
        <v>130</v>
      </c>
      <c r="I42" s="3" t="s">
        <v>131</v>
      </c>
      <c r="J42" s="3" t="s">
        <v>32</v>
      </c>
      <c r="K42" s="3" t="s">
        <v>212</v>
      </c>
      <c r="L42" s="3" t="s">
        <v>338</v>
      </c>
      <c r="M42" s="3" t="s">
        <v>32</v>
      </c>
      <c r="N42" s="3" t="s">
        <v>133</v>
      </c>
      <c r="O42" s="3" t="s">
        <v>131</v>
      </c>
      <c r="P42" s="3" t="s">
        <v>32</v>
      </c>
      <c r="Q42" s="3" t="s">
        <v>222</v>
      </c>
      <c r="R42" s="3" t="s">
        <v>131</v>
      </c>
      <c r="S42" s="3" t="s">
        <v>32</v>
      </c>
      <c r="T42" s="3" t="s">
        <v>37</v>
      </c>
      <c r="U42" s="3" t="s">
        <v>338</v>
      </c>
      <c r="V42" s="3" t="s">
        <v>32</v>
      </c>
      <c r="W42" s="3" t="s">
        <v>641</v>
      </c>
      <c r="X42" s="3" t="s">
        <v>131</v>
      </c>
      <c r="Y42" s="3" t="s">
        <v>32</v>
      </c>
    </row>
    <row r="43" ht="22.5" customHeight="1">
      <c r="A43" s="3">
        <v>2052302.0</v>
      </c>
      <c r="B43" s="3" t="s">
        <v>642</v>
      </c>
      <c r="C43" s="4">
        <v>5.51598802318E12</v>
      </c>
      <c r="D43" s="3" t="s">
        <v>173</v>
      </c>
      <c r="E43" s="5">
        <v>899.95</v>
      </c>
      <c r="F43" s="6">
        <v>0.25</v>
      </c>
      <c r="G43" s="7">
        <f t="shared" si="1"/>
        <v>674.9625</v>
      </c>
      <c r="H43" s="3" t="s">
        <v>132</v>
      </c>
      <c r="I43" s="3" t="s">
        <v>92</v>
      </c>
      <c r="J43" s="3" t="s">
        <v>32</v>
      </c>
      <c r="K43" s="3" t="s">
        <v>37</v>
      </c>
      <c r="L43" s="3" t="s">
        <v>92</v>
      </c>
      <c r="M43" s="3" t="s">
        <v>32</v>
      </c>
    </row>
    <row r="44" ht="22.5" customHeight="1">
      <c r="A44" s="3">
        <v>2052247.0</v>
      </c>
      <c r="B44" s="3" t="s">
        <v>643</v>
      </c>
      <c r="C44" s="4">
        <v>5.5159813537E12</v>
      </c>
      <c r="D44" s="3" t="s">
        <v>29</v>
      </c>
      <c r="E44" s="5">
        <v>1281.6</v>
      </c>
      <c r="F44" s="6">
        <v>0.25</v>
      </c>
      <c r="G44" s="7">
        <f t="shared" si="1"/>
        <v>961.2</v>
      </c>
      <c r="H44" s="3" t="s">
        <v>212</v>
      </c>
      <c r="I44" s="3" t="s">
        <v>139</v>
      </c>
      <c r="J44" s="3" t="s">
        <v>32</v>
      </c>
      <c r="K44" s="3" t="s">
        <v>37</v>
      </c>
      <c r="L44" s="3" t="s">
        <v>644</v>
      </c>
      <c r="M44" s="3" t="s">
        <v>70</v>
      </c>
    </row>
    <row r="45" ht="22.5" customHeight="1">
      <c r="A45" s="3">
        <v>2051926.0</v>
      </c>
      <c r="B45" s="3" t="s">
        <v>645</v>
      </c>
      <c r="C45" s="4">
        <v>5.515998095498E12</v>
      </c>
      <c r="D45" s="3" t="s">
        <v>29</v>
      </c>
      <c r="E45" s="5">
        <v>2961.38</v>
      </c>
      <c r="F45" s="6">
        <v>0.25</v>
      </c>
      <c r="G45" s="7">
        <f t="shared" si="1"/>
        <v>2221.035</v>
      </c>
      <c r="H45" s="3" t="s">
        <v>59</v>
      </c>
      <c r="I45" s="3" t="s">
        <v>447</v>
      </c>
      <c r="J45" s="3" t="s">
        <v>56</v>
      </c>
      <c r="K45" s="3" t="s">
        <v>62</v>
      </c>
      <c r="L45" s="3" t="s">
        <v>575</v>
      </c>
      <c r="M45" s="3" t="s">
        <v>56</v>
      </c>
      <c r="N45" s="3" t="s">
        <v>143</v>
      </c>
      <c r="O45" s="3" t="s">
        <v>50</v>
      </c>
      <c r="P45" s="3" t="s">
        <v>32</v>
      </c>
    </row>
    <row r="46" ht="22.5" customHeight="1">
      <c r="A46" s="3">
        <v>2066389.0</v>
      </c>
      <c r="B46" s="3" t="s">
        <v>646</v>
      </c>
      <c r="C46" s="4">
        <v>5.51599677012E12</v>
      </c>
      <c r="D46" s="3" t="s">
        <v>89</v>
      </c>
      <c r="E46" s="5">
        <v>1552.46</v>
      </c>
      <c r="F46" s="6">
        <v>0.25</v>
      </c>
      <c r="G46" s="7">
        <f t="shared" si="1"/>
        <v>1164.345</v>
      </c>
      <c r="H46" s="3" t="s">
        <v>83</v>
      </c>
      <c r="I46" s="3" t="s">
        <v>404</v>
      </c>
      <c r="J46" s="3" t="s">
        <v>32</v>
      </c>
    </row>
    <row r="47" ht="22.5" customHeight="1">
      <c r="A47" s="3">
        <v>2066139.0</v>
      </c>
      <c r="B47" s="3" t="s">
        <v>585</v>
      </c>
      <c r="C47" s="4">
        <v>5.515988604477E12</v>
      </c>
      <c r="D47" s="3" t="s">
        <v>89</v>
      </c>
      <c r="E47" s="5">
        <v>943.46</v>
      </c>
      <c r="F47" s="6">
        <v>0.25</v>
      </c>
      <c r="G47" s="7">
        <f t="shared" si="1"/>
        <v>707.595</v>
      </c>
      <c r="H47" s="3" t="s">
        <v>174</v>
      </c>
      <c r="I47" s="3" t="s">
        <v>602</v>
      </c>
      <c r="J47" s="3" t="s">
        <v>56</v>
      </c>
    </row>
    <row r="48" ht="22.5" customHeight="1">
      <c r="A48" s="3">
        <v>2065826.0</v>
      </c>
      <c r="B48" s="3" t="s">
        <v>647</v>
      </c>
      <c r="C48" s="4">
        <v>5.515988068132E12</v>
      </c>
      <c r="D48" s="3" t="s">
        <v>89</v>
      </c>
      <c r="E48" s="5">
        <v>3066.91</v>
      </c>
      <c r="F48" s="6">
        <v>0.25</v>
      </c>
      <c r="G48" s="7">
        <f t="shared" si="1"/>
        <v>2300.1825</v>
      </c>
      <c r="H48" s="3" t="s">
        <v>130</v>
      </c>
      <c r="I48" s="3" t="s">
        <v>338</v>
      </c>
      <c r="J48" s="3" t="s">
        <v>32</v>
      </c>
      <c r="K48" s="3" t="s">
        <v>132</v>
      </c>
      <c r="L48" s="3" t="s">
        <v>92</v>
      </c>
      <c r="M48" s="3" t="s">
        <v>32</v>
      </c>
      <c r="N48" s="3" t="s">
        <v>203</v>
      </c>
      <c r="O48" s="3" t="s">
        <v>234</v>
      </c>
      <c r="P48" s="3" t="s">
        <v>32</v>
      </c>
      <c r="Q48" s="3" t="s">
        <v>361</v>
      </c>
      <c r="R48" s="3" t="s">
        <v>92</v>
      </c>
      <c r="S48" s="3" t="s">
        <v>32</v>
      </c>
    </row>
    <row r="49" ht="22.5" customHeight="1">
      <c r="A49" s="3">
        <v>2064804.0</v>
      </c>
      <c r="B49" s="3" t="s">
        <v>648</v>
      </c>
      <c r="C49" s="4">
        <v>5.511988119603E12</v>
      </c>
      <c r="D49" s="3" t="s">
        <v>29</v>
      </c>
      <c r="E49" s="5">
        <v>159.61</v>
      </c>
      <c r="F49" s="6">
        <v>0.25</v>
      </c>
      <c r="G49" s="7">
        <f t="shared" si="1"/>
        <v>119.7075</v>
      </c>
      <c r="H49" s="3" t="s">
        <v>150</v>
      </c>
      <c r="I49" s="3" t="s">
        <v>31</v>
      </c>
      <c r="J49" s="3" t="s">
        <v>32</v>
      </c>
      <c r="K49" s="3" t="s">
        <v>37</v>
      </c>
      <c r="L49" s="3" t="s">
        <v>614</v>
      </c>
      <c r="M49" s="3" t="s">
        <v>32</v>
      </c>
    </row>
    <row r="50" ht="22.5" customHeight="1">
      <c r="A50" s="3">
        <v>2064701.0</v>
      </c>
      <c r="B50" s="3" t="s">
        <v>649</v>
      </c>
      <c r="C50" s="4">
        <v>5.515996724953E12</v>
      </c>
      <c r="D50" s="3" t="s">
        <v>89</v>
      </c>
      <c r="E50" s="5">
        <v>5249.2</v>
      </c>
      <c r="F50" s="6">
        <v>0.25</v>
      </c>
      <c r="G50" s="7">
        <f t="shared" si="1"/>
        <v>3936.9</v>
      </c>
      <c r="H50" s="3" t="s">
        <v>33</v>
      </c>
      <c r="I50" s="3" t="s">
        <v>199</v>
      </c>
      <c r="J50" s="3" t="s">
        <v>32</v>
      </c>
      <c r="K50" s="3" t="s">
        <v>203</v>
      </c>
      <c r="L50" s="3" t="s">
        <v>121</v>
      </c>
      <c r="M50" s="3" t="s">
        <v>61</v>
      </c>
      <c r="N50" s="3" t="s">
        <v>91</v>
      </c>
      <c r="O50" s="3" t="s">
        <v>199</v>
      </c>
      <c r="P50" s="3" t="s">
        <v>32</v>
      </c>
      <c r="Q50" s="3" t="s">
        <v>35</v>
      </c>
      <c r="R50" s="3" t="s">
        <v>199</v>
      </c>
      <c r="S50" s="3" t="s">
        <v>32</v>
      </c>
      <c r="T50" s="3" t="s">
        <v>108</v>
      </c>
      <c r="U50" s="3" t="s">
        <v>31</v>
      </c>
      <c r="V50" s="3" t="s">
        <v>32</v>
      </c>
      <c r="W50" s="3" t="s">
        <v>36</v>
      </c>
      <c r="X50" s="3" t="s">
        <v>31</v>
      </c>
      <c r="Y50" s="3" t="s">
        <v>32</v>
      </c>
      <c r="Z50" s="3" t="s">
        <v>168</v>
      </c>
      <c r="AA50" s="3" t="s">
        <v>31</v>
      </c>
      <c r="AB50" s="3" t="s">
        <v>32</v>
      </c>
      <c r="AC50" s="3" t="s">
        <v>37</v>
      </c>
      <c r="AD50" s="3" t="s">
        <v>650</v>
      </c>
      <c r="AE50" s="3" t="s">
        <v>70</v>
      </c>
    </row>
    <row r="51" ht="22.5" customHeight="1">
      <c r="A51" s="3">
        <v>2064477.0</v>
      </c>
      <c r="B51" s="3" t="s">
        <v>651</v>
      </c>
      <c r="C51" s="4">
        <v>5.515996018218E12</v>
      </c>
      <c r="D51" s="3" t="s">
        <v>89</v>
      </c>
      <c r="E51" s="5">
        <v>2806.55</v>
      </c>
      <c r="F51" s="6">
        <v>0.25</v>
      </c>
      <c r="G51" s="7">
        <f t="shared" si="1"/>
        <v>2104.9125</v>
      </c>
      <c r="H51" s="3" t="s">
        <v>66</v>
      </c>
      <c r="I51" s="3" t="s">
        <v>31</v>
      </c>
      <c r="J51" s="3" t="s">
        <v>32</v>
      </c>
      <c r="K51" s="3" t="s">
        <v>150</v>
      </c>
      <c r="L51" s="3" t="s">
        <v>31</v>
      </c>
      <c r="M51" s="3" t="s">
        <v>32</v>
      </c>
      <c r="N51" s="3" t="s">
        <v>62</v>
      </c>
      <c r="O51" s="3" t="s">
        <v>409</v>
      </c>
      <c r="P51" s="3" t="s">
        <v>56</v>
      </c>
      <c r="Q51" s="3" t="s">
        <v>206</v>
      </c>
      <c r="R51" s="3" t="s">
        <v>31</v>
      </c>
      <c r="S51" s="3" t="s">
        <v>32</v>
      </c>
      <c r="T51" s="3" t="s">
        <v>36</v>
      </c>
      <c r="U51" s="3" t="s">
        <v>31</v>
      </c>
      <c r="V51" s="3" t="s">
        <v>32</v>
      </c>
      <c r="W51" s="3" t="s">
        <v>37</v>
      </c>
      <c r="X51" s="3" t="s">
        <v>652</v>
      </c>
      <c r="Y51" s="3" t="s">
        <v>186</v>
      </c>
    </row>
    <row r="52" ht="22.5" customHeight="1">
      <c r="A52" s="3">
        <v>2064402.0</v>
      </c>
      <c r="B52" s="3" t="s">
        <v>653</v>
      </c>
      <c r="C52" s="4">
        <v>5.515988442235E12</v>
      </c>
      <c r="D52" s="3" t="s">
        <v>89</v>
      </c>
      <c r="E52" s="5">
        <v>1053.99</v>
      </c>
      <c r="F52" s="6">
        <v>0.25</v>
      </c>
      <c r="G52" s="7">
        <f t="shared" si="1"/>
        <v>790.4925</v>
      </c>
      <c r="H52" s="3" t="s">
        <v>66</v>
      </c>
      <c r="I52" s="3" t="s">
        <v>31</v>
      </c>
      <c r="J52" s="3" t="s">
        <v>32</v>
      </c>
      <c r="K52" s="3" t="s">
        <v>150</v>
      </c>
      <c r="L52" s="3" t="s">
        <v>31</v>
      </c>
      <c r="M52" s="3" t="s">
        <v>32</v>
      </c>
      <c r="N52" s="3" t="s">
        <v>37</v>
      </c>
      <c r="O52" s="3" t="s">
        <v>654</v>
      </c>
      <c r="P52" s="3" t="s">
        <v>56</v>
      </c>
    </row>
    <row r="53" ht="22.5" customHeight="1">
      <c r="A53" s="3">
        <v>2062646.0</v>
      </c>
      <c r="B53" s="3" t="s">
        <v>655</v>
      </c>
      <c r="C53" s="4">
        <v>5.515991213995E12</v>
      </c>
      <c r="D53" s="3" t="s">
        <v>40</v>
      </c>
      <c r="E53" s="5">
        <v>15784.14</v>
      </c>
      <c r="F53" s="6">
        <v>0.25</v>
      </c>
      <c r="G53" s="7">
        <f t="shared" si="1"/>
        <v>11838.105</v>
      </c>
      <c r="H53" s="3" t="s">
        <v>150</v>
      </c>
      <c r="I53" s="3" t="s">
        <v>31</v>
      </c>
      <c r="J53" s="3" t="s">
        <v>32</v>
      </c>
      <c r="K53" s="3" t="s">
        <v>33</v>
      </c>
      <c r="L53" s="3" t="s">
        <v>656</v>
      </c>
      <c r="M53" s="3" t="s">
        <v>70</v>
      </c>
      <c r="N53" s="3" t="s">
        <v>62</v>
      </c>
      <c r="O53" s="3" t="s">
        <v>225</v>
      </c>
      <c r="P53" s="3" t="s">
        <v>32</v>
      </c>
      <c r="Q53" s="3" t="s">
        <v>35</v>
      </c>
      <c r="R53" s="3" t="s">
        <v>656</v>
      </c>
      <c r="S53" s="3" t="s">
        <v>70</v>
      </c>
      <c r="T53" s="3" t="s">
        <v>108</v>
      </c>
      <c r="U53" s="3" t="s">
        <v>31</v>
      </c>
      <c r="V53" s="3" t="s">
        <v>56</v>
      </c>
      <c r="W53" s="3" t="s">
        <v>123</v>
      </c>
      <c r="X53" s="3" t="s">
        <v>135</v>
      </c>
      <c r="Y53" s="3" t="s">
        <v>56</v>
      </c>
      <c r="Z53" s="3" t="s">
        <v>37</v>
      </c>
      <c r="AA53" s="3" t="s">
        <v>657</v>
      </c>
      <c r="AB53" s="3" t="s">
        <v>197</v>
      </c>
    </row>
    <row r="54" ht="22.5" customHeight="1">
      <c r="A54" s="3">
        <v>2062643.0</v>
      </c>
      <c r="B54" s="3" t="s">
        <v>655</v>
      </c>
      <c r="C54" s="4">
        <v>5.515991213995E12</v>
      </c>
      <c r="D54" s="3" t="s">
        <v>40</v>
      </c>
      <c r="E54" s="5">
        <v>11026.88</v>
      </c>
      <c r="F54" s="6">
        <v>0.25</v>
      </c>
      <c r="G54" s="7">
        <f t="shared" si="1"/>
        <v>8270.16</v>
      </c>
      <c r="H54" s="3" t="s">
        <v>150</v>
      </c>
      <c r="I54" s="3" t="s">
        <v>31</v>
      </c>
      <c r="J54" s="3" t="s">
        <v>32</v>
      </c>
      <c r="K54" s="3" t="s">
        <v>33</v>
      </c>
      <c r="L54" s="3" t="s">
        <v>656</v>
      </c>
      <c r="M54" s="3" t="s">
        <v>70</v>
      </c>
      <c r="N54" s="3" t="s">
        <v>62</v>
      </c>
      <c r="O54" s="3" t="s">
        <v>225</v>
      </c>
      <c r="P54" s="3" t="s">
        <v>32</v>
      </c>
      <c r="Q54" s="3" t="s">
        <v>35</v>
      </c>
      <c r="R54" s="3" t="s">
        <v>656</v>
      </c>
      <c r="S54" s="3" t="s">
        <v>32</v>
      </c>
      <c r="T54" s="3" t="s">
        <v>108</v>
      </c>
      <c r="U54" s="3" t="s">
        <v>31</v>
      </c>
      <c r="V54" s="3" t="s">
        <v>32</v>
      </c>
      <c r="W54" s="3" t="s">
        <v>123</v>
      </c>
      <c r="X54" s="3" t="s">
        <v>135</v>
      </c>
      <c r="Y54" s="3" t="s">
        <v>56</v>
      </c>
      <c r="Z54" s="3" t="s">
        <v>37</v>
      </c>
      <c r="AA54" s="3" t="s">
        <v>657</v>
      </c>
      <c r="AB54" s="3" t="s">
        <v>197</v>
      </c>
    </row>
    <row r="55" ht="22.5" customHeight="1">
      <c r="A55" s="3">
        <v>2062599.0</v>
      </c>
      <c r="B55" s="3" t="s">
        <v>658</v>
      </c>
      <c r="C55" s="4">
        <v>5.561991169889E12</v>
      </c>
      <c r="D55" s="3" t="s">
        <v>40</v>
      </c>
      <c r="E55" s="5">
        <v>1922.07</v>
      </c>
      <c r="F55" s="6">
        <v>0.25</v>
      </c>
      <c r="G55" s="7">
        <f t="shared" si="1"/>
        <v>1441.5525</v>
      </c>
      <c r="H55" s="3" t="s">
        <v>33</v>
      </c>
      <c r="I55" s="3" t="s">
        <v>221</v>
      </c>
      <c r="J55" s="3" t="s">
        <v>32</v>
      </c>
      <c r="K55" s="3" t="s">
        <v>62</v>
      </c>
      <c r="L55" s="3" t="s">
        <v>221</v>
      </c>
      <c r="M55" s="3" t="s">
        <v>32</v>
      </c>
      <c r="N55" s="3" t="s">
        <v>222</v>
      </c>
      <c r="O55" s="3" t="s">
        <v>221</v>
      </c>
      <c r="P55" s="3" t="s">
        <v>32</v>
      </c>
    </row>
    <row r="56" ht="22.5" customHeight="1">
      <c r="A56" s="3">
        <v>2062016.0</v>
      </c>
      <c r="B56" s="3" t="s">
        <v>659</v>
      </c>
      <c r="C56" s="4">
        <v>5.515992582813E12</v>
      </c>
      <c r="D56" s="3" t="s">
        <v>40</v>
      </c>
      <c r="E56" s="5">
        <v>4322.5</v>
      </c>
      <c r="F56" s="6">
        <v>0.25</v>
      </c>
      <c r="G56" s="7">
        <f t="shared" si="1"/>
        <v>3241.875</v>
      </c>
      <c r="H56" s="3" t="s">
        <v>91</v>
      </c>
      <c r="I56" s="3" t="s">
        <v>74</v>
      </c>
      <c r="J56" s="3" t="s">
        <v>32</v>
      </c>
      <c r="K56" s="3" t="s">
        <v>37</v>
      </c>
      <c r="L56" s="3" t="s">
        <v>660</v>
      </c>
      <c r="M56" s="3" t="s">
        <v>186</v>
      </c>
      <c r="N56" s="3" t="s">
        <v>41</v>
      </c>
      <c r="O56" s="3" t="s">
        <v>31</v>
      </c>
      <c r="P56" s="3" t="s">
        <v>32</v>
      </c>
    </row>
    <row r="57" ht="22.5" customHeight="1">
      <c r="A57" s="3">
        <v>2061881.0</v>
      </c>
      <c r="B57" s="3" t="s">
        <v>661</v>
      </c>
      <c r="D57" s="3" t="s">
        <v>58</v>
      </c>
      <c r="E57" s="5">
        <v>2278.02</v>
      </c>
      <c r="F57" s="6">
        <v>0.25</v>
      </c>
      <c r="G57" s="7">
        <f t="shared" si="1"/>
        <v>1708.515</v>
      </c>
      <c r="H57" s="3" t="s">
        <v>30</v>
      </c>
      <c r="I57" s="3" t="s">
        <v>31</v>
      </c>
      <c r="J57" s="3" t="s">
        <v>32</v>
      </c>
      <c r="K57" s="3" t="s">
        <v>37</v>
      </c>
      <c r="L57" s="3" t="s">
        <v>662</v>
      </c>
      <c r="M57" s="3" t="s">
        <v>170</v>
      </c>
    </row>
    <row r="58" ht="22.5" customHeight="1">
      <c r="A58" s="3">
        <v>2061860.0</v>
      </c>
      <c r="B58" s="3" t="s">
        <v>659</v>
      </c>
      <c r="C58" s="4">
        <v>5.515992582813E12</v>
      </c>
      <c r="D58" s="3" t="s">
        <v>40</v>
      </c>
      <c r="E58" s="5">
        <v>5889.33</v>
      </c>
      <c r="F58" s="6">
        <v>0.25</v>
      </c>
      <c r="G58" s="7">
        <f t="shared" si="1"/>
        <v>4416.9975</v>
      </c>
      <c r="H58" s="3" t="s">
        <v>91</v>
      </c>
      <c r="I58" s="3" t="s">
        <v>74</v>
      </c>
      <c r="J58" s="3" t="s">
        <v>32</v>
      </c>
      <c r="K58" s="3" t="s">
        <v>37</v>
      </c>
      <c r="L58" s="3" t="s">
        <v>660</v>
      </c>
      <c r="M58" s="3" t="s">
        <v>186</v>
      </c>
      <c r="N58" s="3" t="s">
        <v>41</v>
      </c>
      <c r="O58" s="3" t="s">
        <v>31</v>
      </c>
      <c r="P58" s="3" t="s">
        <v>32</v>
      </c>
    </row>
    <row r="59" ht="22.5" customHeight="1">
      <c r="A59" s="3">
        <v>2061832.0</v>
      </c>
      <c r="B59" s="3" t="s">
        <v>663</v>
      </c>
      <c r="C59" s="4">
        <v>5.515988017714E12</v>
      </c>
      <c r="D59" s="3" t="s">
        <v>40</v>
      </c>
      <c r="E59" s="5">
        <v>1656.07</v>
      </c>
      <c r="F59" s="6">
        <v>0.25</v>
      </c>
      <c r="G59" s="7">
        <f t="shared" si="1"/>
        <v>1242.0525</v>
      </c>
      <c r="H59" s="3" t="s">
        <v>143</v>
      </c>
      <c r="I59" s="3" t="s">
        <v>50</v>
      </c>
      <c r="J59" s="3" t="s">
        <v>32</v>
      </c>
      <c r="K59" s="3" t="s">
        <v>37</v>
      </c>
      <c r="L59" s="3" t="s">
        <v>531</v>
      </c>
      <c r="M59" s="3" t="s">
        <v>56</v>
      </c>
    </row>
    <row r="60" ht="22.5" customHeight="1">
      <c r="A60" s="3">
        <v>2061593.0</v>
      </c>
      <c r="B60" s="3" t="s">
        <v>603</v>
      </c>
      <c r="C60" s="4">
        <v>5.515991306687E12</v>
      </c>
      <c r="D60" s="3" t="s">
        <v>360</v>
      </c>
      <c r="E60" s="5">
        <v>7713.25</v>
      </c>
      <c r="F60" s="6">
        <v>0.25</v>
      </c>
      <c r="G60" s="7">
        <f t="shared" si="1"/>
        <v>5784.9375</v>
      </c>
      <c r="H60" s="3" t="s">
        <v>150</v>
      </c>
      <c r="I60" s="3" t="s">
        <v>31</v>
      </c>
      <c r="J60" s="3" t="s">
        <v>32</v>
      </c>
      <c r="K60" s="3" t="s">
        <v>33</v>
      </c>
      <c r="L60" s="3" t="s">
        <v>199</v>
      </c>
      <c r="M60" s="3" t="s">
        <v>32</v>
      </c>
      <c r="N60" s="3" t="s">
        <v>132</v>
      </c>
      <c r="O60" s="3" t="s">
        <v>38</v>
      </c>
      <c r="P60" s="3" t="s">
        <v>32</v>
      </c>
      <c r="Q60" s="3" t="s">
        <v>91</v>
      </c>
      <c r="R60" s="3" t="s">
        <v>664</v>
      </c>
      <c r="S60" s="3" t="s">
        <v>61</v>
      </c>
      <c r="T60" s="3" t="s">
        <v>62</v>
      </c>
      <c r="U60" s="3" t="s">
        <v>665</v>
      </c>
      <c r="V60" s="3" t="s">
        <v>61</v>
      </c>
      <c r="W60" s="3" t="s">
        <v>35</v>
      </c>
      <c r="X60" s="3" t="s">
        <v>199</v>
      </c>
      <c r="Y60" s="3" t="s">
        <v>32</v>
      </c>
      <c r="Z60" s="3" t="s">
        <v>108</v>
      </c>
      <c r="AA60" s="3" t="s">
        <v>31</v>
      </c>
      <c r="AB60" s="3" t="s">
        <v>56</v>
      </c>
      <c r="AC60" s="3" t="s">
        <v>49</v>
      </c>
      <c r="AD60" s="3" t="s">
        <v>50</v>
      </c>
      <c r="AE60" s="3" t="s">
        <v>32</v>
      </c>
      <c r="AF60" s="3" t="s">
        <v>37</v>
      </c>
      <c r="AG60" s="3" t="s">
        <v>666</v>
      </c>
      <c r="AH60" s="3" t="s">
        <v>170</v>
      </c>
    </row>
    <row r="61" ht="22.5" customHeight="1">
      <c r="A61" s="3">
        <v>2061591.0</v>
      </c>
      <c r="B61" s="3" t="s">
        <v>603</v>
      </c>
      <c r="C61" s="4">
        <v>5.515991306687E12</v>
      </c>
      <c r="D61" s="3" t="s">
        <v>360</v>
      </c>
      <c r="E61" s="5">
        <v>6761.76</v>
      </c>
      <c r="F61" s="6">
        <v>0.25</v>
      </c>
      <c r="G61" s="7">
        <f t="shared" si="1"/>
        <v>5071.32</v>
      </c>
      <c r="H61" s="3" t="s">
        <v>150</v>
      </c>
      <c r="I61" s="3" t="s">
        <v>31</v>
      </c>
      <c r="J61" s="3" t="s">
        <v>32</v>
      </c>
      <c r="K61" s="3" t="s">
        <v>33</v>
      </c>
      <c r="L61" s="3" t="s">
        <v>199</v>
      </c>
      <c r="M61" s="3" t="s">
        <v>32</v>
      </c>
      <c r="N61" s="3" t="s">
        <v>132</v>
      </c>
      <c r="O61" s="3" t="s">
        <v>38</v>
      </c>
      <c r="P61" s="3" t="s">
        <v>32</v>
      </c>
      <c r="Q61" s="3" t="s">
        <v>91</v>
      </c>
      <c r="R61" s="3" t="s">
        <v>664</v>
      </c>
      <c r="S61" s="3" t="s">
        <v>61</v>
      </c>
      <c r="T61" s="3" t="s">
        <v>62</v>
      </c>
      <c r="U61" s="3" t="s">
        <v>665</v>
      </c>
      <c r="V61" s="3" t="s">
        <v>61</v>
      </c>
      <c r="W61" s="3" t="s">
        <v>35</v>
      </c>
      <c r="X61" s="3" t="s">
        <v>199</v>
      </c>
      <c r="Y61" s="3" t="s">
        <v>32</v>
      </c>
      <c r="Z61" s="3" t="s">
        <v>108</v>
      </c>
      <c r="AA61" s="3" t="s">
        <v>31</v>
      </c>
      <c r="AB61" s="3" t="s">
        <v>56</v>
      </c>
      <c r="AC61" s="3" t="s">
        <v>37</v>
      </c>
      <c r="AD61" s="3" t="s">
        <v>666</v>
      </c>
      <c r="AE61" s="3" t="s">
        <v>170</v>
      </c>
    </row>
    <row r="62" ht="22.5" customHeight="1">
      <c r="A62" s="3">
        <v>2061417.0</v>
      </c>
      <c r="B62" s="3" t="s">
        <v>667</v>
      </c>
      <c r="C62" s="4">
        <v>5.515992581951E12</v>
      </c>
      <c r="D62" s="3" t="s">
        <v>81</v>
      </c>
      <c r="E62" s="5">
        <v>2259.74</v>
      </c>
      <c r="F62" s="6">
        <v>0.25</v>
      </c>
      <c r="G62" s="7">
        <f t="shared" si="1"/>
        <v>1694.805</v>
      </c>
      <c r="H62" s="3" t="s">
        <v>83</v>
      </c>
      <c r="I62" s="3" t="s">
        <v>225</v>
      </c>
      <c r="J62" s="3" t="s">
        <v>32</v>
      </c>
      <c r="K62" s="3" t="s">
        <v>85</v>
      </c>
      <c r="L62" s="3" t="s">
        <v>225</v>
      </c>
      <c r="M62" s="3" t="s">
        <v>32</v>
      </c>
      <c r="N62" s="3" t="s">
        <v>108</v>
      </c>
      <c r="O62" s="3" t="s">
        <v>31</v>
      </c>
      <c r="P62" s="3" t="s">
        <v>32</v>
      </c>
    </row>
    <row r="63" ht="22.5" customHeight="1">
      <c r="A63" s="3">
        <v>2061406.0</v>
      </c>
      <c r="B63" s="3" t="s">
        <v>667</v>
      </c>
      <c r="C63" s="4">
        <v>5.515992581951E12</v>
      </c>
      <c r="D63" s="3" t="s">
        <v>81</v>
      </c>
      <c r="E63" s="5">
        <v>2310.89</v>
      </c>
      <c r="F63" s="6">
        <v>0.25</v>
      </c>
      <c r="G63" s="7">
        <f t="shared" si="1"/>
        <v>1733.1675</v>
      </c>
      <c r="H63" s="3" t="s">
        <v>132</v>
      </c>
      <c r="I63" s="3" t="s">
        <v>262</v>
      </c>
      <c r="J63" s="3" t="s">
        <v>32</v>
      </c>
      <c r="K63" s="3" t="s">
        <v>116</v>
      </c>
      <c r="L63" s="3" t="s">
        <v>225</v>
      </c>
      <c r="M63" s="3" t="s">
        <v>32</v>
      </c>
      <c r="N63" s="3" t="s">
        <v>85</v>
      </c>
      <c r="O63" s="3" t="s">
        <v>225</v>
      </c>
      <c r="P63" s="3" t="s">
        <v>32</v>
      </c>
      <c r="Q63" s="3" t="s">
        <v>108</v>
      </c>
      <c r="R63" s="3" t="s">
        <v>31</v>
      </c>
      <c r="S63" s="3" t="s">
        <v>32</v>
      </c>
      <c r="T63" s="3" t="s">
        <v>37</v>
      </c>
      <c r="U63" s="3" t="s">
        <v>262</v>
      </c>
      <c r="V63" s="3" t="s">
        <v>32</v>
      </c>
    </row>
    <row r="64" ht="22.5" customHeight="1">
      <c r="A64" s="3">
        <v>2061400.0</v>
      </c>
      <c r="B64" s="3" t="s">
        <v>667</v>
      </c>
      <c r="C64" s="4">
        <v>5.515992581951E12</v>
      </c>
      <c r="D64" s="3" t="s">
        <v>81</v>
      </c>
      <c r="E64" s="5">
        <v>3381.27</v>
      </c>
      <c r="F64" s="6">
        <v>0.25</v>
      </c>
      <c r="G64" s="7">
        <f t="shared" si="1"/>
        <v>2535.9525</v>
      </c>
      <c r="H64" s="3" t="s">
        <v>83</v>
      </c>
      <c r="I64" s="3" t="s">
        <v>225</v>
      </c>
      <c r="J64" s="3" t="s">
        <v>32</v>
      </c>
      <c r="K64" s="3" t="s">
        <v>132</v>
      </c>
      <c r="L64" s="3" t="s">
        <v>262</v>
      </c>
      <c r="M64" s="3" t="s">
        <v>32</v>
      </c>
      <c r="N64" s="3" t="s">
        <v>85</v>
      </c>
      <c r="O64" s="3" t="s">
        <v>225</v>
      </c>
      <c r="P64" s="3" t="s">
        <v>32</v>
      </c>
      <c r="Q64" s="3" t="s">
        <v>108</v>
      </c>
      <c r="R64" s="3" t="s">
        <v>31</v>
      </c>
      <c r="S64" s="3" t="s">
        <v>32</v>
      </c>
      <c r="T64" s="3" t="s">
        <v>37</v>
      </c>
      <c r="U64" s="3" t="s">
        <v>262</v>
      </c>
      <c r="V64" s="3" t="s">
        <v>32</v>
      </c>
    </row>
    <row r="65" ht="22.5" customHeight="1">
      <c r="A65" s="3">
        <v>2061303.0</v>
      </c>
      <c r="B65" s="3" t="s">
        <v>668</v>
      </c>
      <c r="C65" s="4">
        <v>5.515996152434E12</v>
      </c>
      <c r="D65" s="3" t="s">
        <v>40</v>
      </c>
      <c r="E65" s="5">
        <v>461.59</v>
      </c>
      <c r="F65" s="6">
        <v>0.25</v>
      </c>
      <c r="G65" s="7">
        <f t="shared" si="1"/>
        <v>346.1925</v>
      </c>
      <c r="H65" s="3" t="s">
        <v>36</v>
      </c>
      <c r="I65" s="3" t="s">
        <v>31</v>
      </c>
      <c r="J65" s="3" t="s">
        <v>32</v>
      </c>
      <c r="K65" s="3" t="s">
        <v>37</v>
      </c>
      <c r="L65" s="3" t="s">
        <v>575</v>
      </c>
      <c r="M65" s="3" t="s">
        <v>56</v>
      </c>
    </row>
    <row r="66" ht="22.5" customHeight="1">
      <c r="A66" s="3">
        <v>2061297.0</v>
      </c>
      <c r="B66" s="3" t="s">
        <v>579</v>
      </c>
      <c r="C66" s="4">
        <v>5.515997774546E12</v>
      </c>
      <c r="D66" s="3" t="s">
        <v>40</v>
      </c>
      <c r="E66" s="5">
        <v>5213.68</v>
      </c>
      <c r="F66" s="6">
        <v>0.25</v>
      </c>
      <c r="G66" s="7">
        <f t="shared" si="1"/>
        <v>3910.26</v>
      </c>
      <c r="H66" s="3" t="s">
        <v>108</v>
      </c>
      <c r="I66" s="3" t="s">
        <v>31</v>
      </c>
      <c r="J66" s="3" t="s">
        <v>32</v>
      </c>
      <c r="K66" s="3" t="s">
        <v>168</v>
      </c>
      <c r="L66" s="3" t="s">
        <v>31</v>
      </c>
      <c r="M66" s="3" t="s">
        <v>32</v>
      </c>
      <c r="N66" s="3" t="s">
        <v>41</v>
      </c>
      <c r="O66" s="3" t="s">
        <v>31</v>
      </c>
      <c r="P66" s="3" t="s">
        <v>32</v>
      </c>
    </row>
    <row r="67" ht="22.5" customHeight="1">
      <c r="A67" s="3">
        <v>2061256.0</v>
      </c>
      <c r="B67" s="3" t="s">
        <v>669</v>
      </c>
      <c r="C67" s="4">
        <v>5.515997360697E12</v>
      </c>
      <c r="D67" s="3" t="s">
        <v>40</v>
      </c>
      <c r="E67" s="5">
        <v>1902.88</v>
      </c>
      <c r="F67" s="6">
        <v>0.25</v>
      </c>
      <c r="G67" s="7">
        <f t="shared" si="1"/>
        <v>1427.16</v>
      </c>
      <c r="H67" s="3" t="s">
        <v>132</v>
      </c>
      <c r="I67" s="3" t="s">
        <v>38</v>
      </c>
      <c r="J67" s="3" t="s">
        <v>32</v>
      </c>
      <c r="K67" s="3" t="s">
        <v>85</v>
      </c>
      <c r="L67" s="3" t="s">
        <v>38</v>
      </c>
      <c r="M67" s="3" t="s">
        <v>32</v>
      </c>
      <c r="N67" s="3" t="s">
        <v>410</v>
      </c>
      <c r="O67" s="3" t="s">
        <v>38</v>
      </c>
      <c r="P67" s="3" t="s">
        <v>32</v>
      </c>
    </row>
    <row r="68" ht="22.5" customHeight="1">
      <c r="A68" s="3">
        <v>2061109.0</v>
      </c>
      <c r="B68" s="3" t="s">
        <v>670</v>
      </c>
      <c r="C68" s="4">
        <v>5.515996060578E12</v>
      </c>
      <c r="D68" s="3" t="s">
        <v>81</v>
      </c>
      <c r="E68" s="5">
        <v>1767.51</v>
      </c>
      <c r="F68" s="6">
        <v>0.25</v>
      </c>
      <c r="G68" s="7">
        <f t="shared" si="1"/>
        <v>1325.6325</v>
      </c>
      <c r="H68" s="3" t="s">
        <v>212</v>
      </c>
      <c r="I68" s="3" t="s">
        <v>34</v>
      </c>
      <c r="J68" s="3" t="s">
        <v>32</v>
      </c>
      <c r="K68" s="3" t="s">
        <v>203</v>
      </c>
      <c r="L68" s="3" t="s">
        <v>221</v>
      </c>
      <c r="M68" s="3" t="s">
        <v>32</v>
      </c>
      <c r="N68" s="3" t="s">
        <v>37</v>
      </c>
      <c r="O68" s="3" t="s">
        <v>671</v>
      </c>
      <c r="P68" s="3" t="s">
        <v>56</v>
      </c>
    </row>
    <row r="69" ht="22.5" customHeight="1">
      <c r="A69" s="3">
        <v>2061079.0</v>
      </c>
      <c r="B69" s="3" t="s">
        <v>549</v>
      </c>
      <c r="C69" s="4">
        <v>5.515991051553E12</v>
      </c>
      <c r="D69" s="3" t="s">
        <v>81</v>
      </c>
      <c r="E69" s="5">
        <v>2846.13</v>
      </c>
      <c r="F69" s="6">
        <v>0.25</v>
      </c>
      <c r="G69" s="7">
        <f t="shared" si="1"/>
        <v>2134.5975</v>
      </c>
      <c r="H69" s="3" t="s">
        <v>130</v>
      </c>
      <c r="I69" s="3" t="s">
        <v>84</v>
      </c>
      <c r="J69" s="3" t="s">
        <v>32</v>
      </c>
      <c r="K69" s="3" t="s">
        <v>132</v>
      </c>
      <c r="L69" s="3" t="s">
        <v>74</v>
      </c>
      <c r="M69" s="3" t="s">
        <v>32</v>
      </c>
      <c r="N69" s="3" t="s">
        <v>133</v>
      </c>
      <c r="O69" s="3" t="s">
        <v>84</v>
      </c>
      <c r="P69" s="3" t="s">
        <v>32</v>
      </c>
      <c r="Q69" s="3" t="s">
        <v>37</v>
      </c>
      <c r="R69" s="3" t="s">
        <v>74</v>
      </c>
      <c r="S69" s="3" t="s">
        <v>32</v>
      </c>
    </row>
    <row r="70" ht="22.5" customHeight="1">
      <c r="A70" s="3">
        <v>2060867.0</v>
      </c>
      <c r="B70" s="3" t="s">
        <v>672</v>
      </c>
      <c r="C70" s="4">
        <v>5.515991720997E12</v>
      </c>
      <c r="D70" s="3" t="s">
        <v>155</v>
      </c>
      <c r="E70" s="5">
        <v>5550.75</v>
      </c>
      <c r="F70" s="6">
        <v>0.25</v>
      </c>
      <c r="G70" s="7">
        <f t="shared" si="1"/>
        <v>4163.0625</v>
      </c>
      <c r="H70" s="3" t="s">
        <v>150</v>
      </c>
      <c r="I70" s="3" t="s">
        <v>31</v>
      </c>
      <c r="J70" s="3" t="s">
        <v>32</v>
      </c>
      <c r="K70" s="3" t="s">
        <v>108</v>
      </c>
      <c r="L70" s="3" t="s">
        <v>31</v>
      </c>
      <c r="M70" s="3" t="s">
        <v>32</v>
      </c>
      <c r="N70" s="3" t="s">
        <v>36</v>
      </c>
      <c r="O70" s="3" t="s">
        <v>31</v>
      </c>
      <c r="P70" s="3" t="s">
        <v>32</v>
      </c>
      <c r="Q70" s="3" t="s">
        <v>168</v>
      </c>
      <c r="R70" s="3" t="s">
        <v>31</v>
      </c>
      <c r="S70" s="3" t="s">
        <v>32</v>
      </c>
      <c r="T70" s="3" t="s">
        <v>37</v>
      </c>
      <c r="U70" s="3" t="s">
        <v>199</v>
      </c>
      <c r="V70" s="3" t="s">
        <v>32</v>
      </c>
      <c r="W70" s="3" t="s">
        <v>41</v>
      </c>
      <c r="X70" s="3" t="s">
        <v>31</v>
      </c>
      <c r="Y70" s="3" t="s">
        <v>32</v>
      </c>
    </row>
    <row r="71" ht="22.5" customHeight="1">
      <c r="A71" s="3">
        <v>2059811.0</v>
      </c>
      <c r="B71" s="3" t="s">
        <v>673</v>
      </c>
      <c r="C71" s="4">
        <v>5.511995112798E12</v>
      </c>
      <c r="D71" s="3" t="s">
        <v>89</v>
      </c>
      <c r="E71" s="5">
        <v>17304.51</v>
      </c>
      <c r="F71" s="6">
        <v>0.25</v>
      </c>
      <c r="G71" s="7">
        <f t="shared" si="1"/>
        <v>12978.3825</v>
      </c>
      <c r="H71" s="3" t="s">
        <v>130</v>
      </c>
      <c r="I71" s="3" t="s">
        <v>74</v>
      </c>
      <c r="J71" s="3" t="s">
        <v>32</v>
      </c>
      <c r="K71" s="3" t="s">
        <v>33</v>
      </c>
      <c r="L71" s="3" t="s">
        <v>674</v>
      </c>
      <c r="M71" s="3" t="s">
        <v>170</v>
      </c>
      <c r="N71" s="3" t="s">
        <v>35</v>
      </c>
      <c r="O71" s="3" t="s">
        <v>675</v>
      </c>
      <c r="P71" s="3" t="s">
        <v>70</v>
      </c>
      <c r="Q71" s="3" t="s">
        <v>361</v>
      </c>
      <c r="R71" s="3" t="s">
        <v>38</v>
      </c>
      <c r="S71" s="3" t="s">
        <v>32</v>
      </c>
      <c r="T71" s="3" t="s">
        <v>133</v>
      </c>
      <c r="U71" s="3" t="s">
        <v>74</v>
      </c>
      <c r="V71" s="3" t="s">
        <v>32</v>
      </c>
      <c r="W71" s="3" t="s">
        <v>641</v>
      </c>
      <c r="X71" s="3" t="s">
        <v>74</v>
      </c>
      <c r="Y71" s="3" t="s">
        <v>32</v>
      </c>
    </row>
    <row r="72" ht="22.5" customHeight="1">
      <c r="A72" s="29"/>
      <c r="B72" s="29"/>
      <c r="C72" s="30"/>
      <c r="D72" s="16" t="s">
        <v>238</v>
      </c>
      <c r="E72" s="17">
        <f>SUM(E2:E71)</f>
        <v>287454.59</v>
      </c>
      <c r="F72" s="18" t="s">
        <v>239</v>
      </c>
      <c r="G72" s="19">
        <f>SUM(G2:G71)</f>
        <v>215590.9425</v>
      </c>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row>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custom" allowBlank="1" showDropDown="1" sqref="E2:G72">
      <formula1>AND(ISNUMBER(E2),(NOT(OR(NOT(ISERROR(DATEVALUE(E2))), AND(ISNUMBER(E2), LEFT(CELL("format", E2))="D")))))</formula1>
    </dataValidation>
  </dataValidations>
  <printOptions/>
  <pageMargins bottom="1.0" footer="0.0" header="0.0" left="0.75" right="0.75" top="1.0"/>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5.43"/>
    <col customWidth="1" min="2" max="2" width="43.0"/>
    <col customWidth="1" min="3" max="3" width="16.71"/>
    <col customWidth="1" min="4" max="4" width="29.14"/>
    <col customWidth="1" min="5" max="5" width="19.29"/>
    <col customWidth="1" min="6" max="6" width="17.86"/>
    <col customWidth="1" min="7" max="7" width="18.43"/>
    <col customWidth="1" min="8" max="9" width="43.0"/>
    <col customWidth="1" min="10" max="10" width="18.0"/>
    <col customWidth="1" min="11" max="12" width="43.0"/>
    <col customWidth="1" min="13" max="13" width="18.0"/>
    <col customWidth="1" min="14" max="15" width="43.0"/>
    <col customWidth="1" min="16" max="16" width="18.0"/>
    <col customWidth="1" min="17" max="17" width="33.14"/>
    <col customWidth="1" min="18" max="18" width="43.0"/>
    <col customWidth="1" min="19" max="19" width="18.0"/>
    <col customWidth="1" min="20" max="20" width="18.14"/>
    <col customWidth="1" min="21" max="21" width="21.0"/>
    <col customWidth="1" min="22" max="22" width="18.0"/>
    <col customWidth="1" min="23" max="23" width="18.14"/>
    <col customWidth="1" min="24" max="24" width="21.0"/>
    <col customWidth="1" min="25" max="25" width="18.0"/>
    <col customWidth="1" min="26" max="26" width="13.71"/>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1" t="s">
        <v>240</v>
      </c>
    </row>
    <row r="2" ht="22.5" customHeight="1">
      <c r="A2" s="3">
        <v>2086679.0</v>
      </c>
      <c r="B2" s="3" t="s">
        <v>676</v>
      </c>
      <c r="C2" s="4">
        <v>5.515991455959E12</v>
      </c>
      <c r="D2" s="3" t="s">
        <v>677</v>
      </c>
      <c r="E2" s="5">
        <v>6172.3</v>
      </c>
      <c r="F2" s="6">
        <v>0.25</v>
      </c>
      <c r="G2" s="7">
        <f t="shared" ref="G2:G97" si="1">E2*(1-F2)</f>
        <v>4629.225</v>
      </c>
      <c r="H2" s="3" t="s">
        <v>37</v>
      </c>
      <c r="I2" s="3" t="s">
        <v>678</v>
      </c>
      <c r="J2" s="3" t="s">
        <v>46</v>
      </c>
      <c r="K2" s="3" t="s">
        <v>41</v>
      </c>
      <c r="L2" s="3" t="s">
        <v>31</v>
      </c>
      <c r="M2" s="3" t="s">
        <v>32</v>
      </c>
    </row>
    <row r="3" ht="22.5" customHeight="1">
      <c r="A3" s="3">
        <v>2086677.0</v>
      </c>
      <c r="B3" s="3" t="s">
        <v>676</v>
      </c>
      <c r="C3" s="4">
        <v>5.515991455959E12</v>
      </c>
      <c r="D3" s="3" t="s">
        <v>677</v>
      </c>
      <c r="E3" s="5">
        <v>1361.39</v>
      </c>
      <c r="F3" s="6">
        <v>0.25</v>
      </c>
      <c r="G3" s="7">
        <f t="shared" si="1"/>
        <v>1021.0425</v>
      </c>
      <c r="H3" s="3" t="s">
        <v>37</v>
      </c>
      <c r="I3" s="3" t="s">
        <v>678</v>
      </c>
      <c r="J3" s="3" t="s">
        <v>46</v>
      </c>
    </row>
    <row r="4" ht="22.5" customHeight="1">
      <c r="A4" s="3">
        <v>2086159.0</v>
      </c>
      <c r="B4" s="3" t="s">
        <v>679</v>
      </c>
      <c r="C4" s="4">
        <v>4.398625585E9</v>
      </c>
      <c r="D4" s="3" t="s">
        <v>677</v>
      </c>
      <c r="E4" s="5">
        <v>1886.06</v>
      </c>
      <c r="F4" s="6">
        <v>0.25</v>
      </c>
      <c r="G4" s="7">
        <f t="shared" si="1"/>
        <v>1414.545</v>
      </c>
      <c r="H4" s="3" t="s">
        <v>150</v>
      </c>
      <c r="I4" s="3" t="s">
        <v>31</v>
      </c>
      <c r="J4" s="3" t="s">
        <v>32</v>
      </c>
      <c r="K4" s="3" t="s">
        <v>203</v>
      </c>
      <c r="L4" s="3" t="s">
        <v>199</v>
      </c>
      <c r="M4" s="3" t="s">
        <v>32</v>
      </c>
      <c r="N4" s="3" t="s">
        <v>108</v>
      </c>
      <c r="O4" s="3" t="s">
        <v>31</v>
      </c>
      <c r="P4" s="3" t="s">
        <v>32</v>
      </c>
      <c r="Q4" s="3" t="s">
        <v>37</v>
      </c>
      <c r="R4" s="3" t="s">
        <v>680</v>
      </c>
      <c r="S4" s="3" t="s">
        <v>186</v>
      </c>
    </row>
    <row r="5" ht="22.5" customHeight="1">
      <c r="A5" s="3">
        <v>2086089.0</v>
      </c>
      <c r="B5" s="3" t="s">
        <v>681</v>
      </c>
      <c r="C5" s="4">
        <v>5.515997840453E12</v>
      </c>
      <c r="D5" s="3" t="s">
        <v>677</v>
      </c>
      <c r="E5" s="5">
        <v>1488.62</v>
      </c>
      <c r="F5" s="6">
        <v>0.25</v>
      </c>
      <c r="G5" s="7">
        <f t="shared" si="1"/>
        <v>1116.465</v>
      </c>
      <c r="H5" s="3" t="s">
        <v>150</v>
      </c>
      <c r="I5" s="3" t="s">
        <v>31</v>
      </c>
      <c r="J5" s="3" t="s">
        <v>32</v>
      </c>
      <c r="K5" s="3" t="s">
        <v>108</v>
      </c>
      <c r="L5" s="3" t="s">
        <v>31</v>
      </c>
      <c r="M5" s="3" t="s">
        <v>32</v>
      </c>
      <c r="N5" s="3" t="s">
        <v>37</v>
      </c>
      <c r="O5" s="3" t="s">
        <v>682</v>
      </c>
      <c r="P5" s="3" t="s">
        <v>197</v>
      </c>
    </row>
    <row r="6" ht="22.5" customHeight="1">
      <c r="A6" s="3">
        <v>2084692.0</v>
      </c>
      <c r="B6" s="3" t="s">
        <v>683</v>
      </c>
      <c r="C6" s="4">
        <v>5.515997603369E12</v>
      </c>
      <c r="D6" s="3" t="s">
        <v>40</v>
      </c>
      <c r="E6" s="5">
        <v>5946.52</v>
      </c>
      <c r="F6" s="6">
        <v>0.25</v>
      </c>
      <c r="G6" s="7">
        <f t="shared" si="1"/>
        <v>4459.89</v>
      </c>
      <c r="H6" s="3" t="s">
        <v>150</v>
      </c>
      <c r="I6" s="3" t="s">
        <v>31</v>
      </c>
      <c r="J6" s="3" t="s">
        <v>32</v>
      </c>
      <c r="K6" s="3" t="s">
        <v>33</v>
      </c>
      <c r="L6" s="3" t="s">
        <v>106</v>
      </c>
      <c r="M6" s="3" t="s">
        <v>56</v>
      </c>
      <c r="N6" s="3" t="s">
        <v>35</v>
      </c>
      <c r="O6" s="3" t="s">
        <v>106</v>
      </c>
      <c r="P6" s="3" t="s">
        <v>56</v>
      </c>
    </row>
    <row r="7" ht="22.5" customHeight="1">
      <c r="A7" s="3">
        <v>2082975.0</v>
      </c>
      <c r="B7" s="3" t="s">
        <v>684</v>
      </c>
      <c r="C7" s="4">
        <v>5.515988014896E12</v>
      </c>
      <c r="D7" s="3" t="s">
        <v>40</v>
      </c>
      <c r="E7" s="5">
        <v>943.99</v>
      </c>
      <c r="F7" s="6">
        <v>0.25</v>
      </c>
      <c r="G7" s="7">
        <f t="shared" si="1"/>
        <v>707.9925</v>
      </c>
      <c r="H7" s="3" t="s">
        <v>641</v>
      </c>
      <c r="I7" s="3" t="s">
        <v>262</v>
      </c>
      <c r="J7" s="3" t="s">
        <v>32</v>
      </c>
    </row>
    <row r="8" ht="22.5" customHeight="1">
      <c r="A8" s="3">
        <v>2082491.0</v>
      </c>
      <c r="B8" s="3" t="s">
        <v>685</v>
      </c>
      <c r="C8" s="4">
        <v>5.515988111853E12</v>
      </c>
      <c r="D8" s="3" t="s">
        <v>296</v>
      </c>
      <c r="E8" s="5">
        <v>1350.38</v>
      </c>
      <c r="F8" s="6">
        <v>0.25</v>
      </c>
      <c r="G8" s="7">
        <f t="shared" si="1"/>
        <v>1012.785</v>
      </c>
      <c r="H8" s="3" t="s">
        <v>150</v>
      </c>
      <c r="I8" s="3" t="s">
        <v>31</v>
      </c>
      <c r="J8" s="3" t="s">
        <v>32</v>
      </c>
      <c r="K8" s="3" t="s">
        <v>62</v>
      </c>
      <c r="L8" s="3" t="s">
        <v>431</v>
      </c>
      <c r="M8" s="3" t="s">
        <v>32</v>
      </c>
      <c r="N8" s="3" t="s">
        <v>108</v>
      </c>
      <c r="O8" s="3" t="s">
        <v>31</v>
      </c>
      <c r="P8" s="3" t="s">
        <v>32</v>
      </c>
      <c r="Q8" s="3" t="s">
        <v>37</v>
      </c>
      <c r="R8" s="3" t="s">
        <v>686</v>
      </c>
      <c r="S8" s="3" t="s">
        <v>170</v>
      </c>
    </row>
    <row r="9" ht="22.5" customHeight="1">
      <c r="A9" s="3">
        <v>2081294.0</v>
      </c>
      <c r="B9" s="3" t="s">
        <v>687</v>
      </c>
      <c r="C9" s="4">
        <v>5.515996473978E12</v>
      </c>
      <c r="D9" s="3" t="s">
        <v>360</v>
      </c>
      <c r="E9" s="5">
        <v>645.14</v>
      </c>
      <c r="F9" s="6">
        <v>0.25</v>
      </c>
      <c r="G9" s="7">
        <f t="shared" si="1"/>
        <v>483.855</v>
      </c>
      <c r="H9" s="3" t="s">
        <v>150</v>
      </c>
      <c r="I9" s="3" t="s">
        <v>31</v>
      </c>
      <c r="J9" s="3" t="s">
        <v>32</v>
      </c>
      <c r="K9" s="3" t="s">
        <v>206</v>
      </c>
      <c r="L9" s="3" t="s">
        <v>31</v>
      </c>
      <c r="M9" s="3" t="s">
        <v>32</v>
      </c>
    </row>
    <row r="10" ht="22.5" customHeight="1">
      <c r="A10" s="3">
        <v>2080357.0</v>
      </c>
      <c r="B10" s="3" t="s">
        <v>688</v>
      </c>
      <c r="C10" s="4">
        <v>5.5159918767E12</v>
      </c>
      <c r="D10" s="3" t="s">
        <v>689</v>
      </c>
      <c r="E10" s="5">
        <v>1224.13</v>
      </c>
      <c r="F10" s="6">
        <v>0.25</v>
      </c>
      <c r="G10" s="7">
        <f t="shared" si="1"/>
        <v>918.0975</v>
      </c>
      <c r="H10" s="3" t="s">
        <v>66</v>
      </c>
      <c r="I10" s="3" t="s">
        <v>31</v>
      </c>
      <c r="J10" s="3" t="s">
        <v>32</v>
      </c>
      <c r="K10" s="3" t="s">
        <v>37</v>
      </c>
      <c r="L10" s="3" t="s">
        <v>690</v>
      </c>
      <c r="M10" s="3" t="s">
        <v>61</v>
      </c>
    </row>
    <row r="11" ht="22.5" customHeight="1">
      <c r="A11" s="3">
        <v>2079363.0</v>
      </c>
      <c r="B11" s="3" t="s">
        <v>691</v>
      </c>
      <c r="C11" s="4">
        <v>5.515998417325E12</v>
      </c>
      <c r="D11" s="3" t="s">
        <v>296</v>
      </c>
      <c r="E11" s="5">
        <v>2834.28</v>
      </c>
      <c r="F11" s="6">
        <v>0.25</v>
      </c>
      <c r="G11" s="7">
        <f t="shared" si="1"/>
        <v>2125.71</v>
      </c>
      <c r="H11" s="3" t="s">
        <v>150</v>
      </c>
      <c r="I11" s="3" t="s">
        <v>31</v>
      </c>
      <c r="J11" s="3" t="s">
        <v>32</v>
      </c>
      <c r="K11" s="3" t="s">
        <v>130</v>
      </c>
      <c r="L11" s="3" t="s">
        <v>63</v>
      </c>
      <c r="M11" s="3" t="s">
        <v>32</v>
      </c>
      <c r="N11" s="3" t="s">
        <v>132</v>
      </c>
      <c r="O11" s="3" t="s">
        <v>63</v>
      </c>
      <c r="P11" s="3" t="s">
        <v>32</v>
      </c>
      <c r="Q11" s="3" t="s">
        <v>133</v>
      </c>
      <c r="R11" s="3" t="s">
        <v>63</v>
      </c>
      <c r="S11" s="3" t="s">
        <v>32</v>
      </c>
    </row>
    <row r="12" ht="22.5" customHeight="1">
      <c r="A12" s="3">
        <v>2079113.0</v>
      </c>
      <c r="B12" s="3" t="s">
        <v>692</v>
      </c>
      <c r="C12" s="4">
        <v>5.515997015728E12</v>
      </c>
      <c r="D12" s="3" t="s">
        <v>360</v>
      </c>
      <c r="E12" s="5">
        <v>1108.4</v>
      </c>
      <c r="F12" s="6">
        <v>0.25</v>
      </c>
      <c r="G12" s="7">
        <f t="shared" si="1"/>
        <v>831.3</v>
      </c>
      <c r="H12" s="3" t="s">
        <v>59</v>
      </c>
      <c r="I12" s="3" t="s">
        <v>588</v>
      </c>
      <c r="J12" s="3" t="s">
        <v>32</v>
      </c>
      <c r="K12" s="3" t="s">
        <v>174</v>
      </c>
      <c r="L12" s="3" t="s">
        <v>440</v>
      </c>
      <c r="M12" s="3" t="s">
        <v>32</v>
      </c>
      <c r="N12" s="3" t="s">
        <v>37</v>
      </c>
      <c r="O12" s="3" t="s">
        <v>140</v>
      </c>
      <c r="P12" s="3" t="s">
        <v>32</v>
      </c>
    </row>
    <row r="13" ht="22.5" customHeight="1">
      <c r="A13" s="3">
        <v>2079098.0</v>
      </c>
      <c r="B13" s="3" t="s">
        <v>693</v>
      </c>
      <c r="C13" s="4">
        <v>5.515997369567E12</v>
      </c>
      <c r="D13" s="3" t="s">
        <v>58</v>
      </c>
      <c r="E13" s="5">
        <v>1379.86</v>
      </c>
      <c r="F13" s="6">
        <v>0.25</v>
      </c>
      <c r="G13" s="7">
        <f t="shared" si="1"/>
        <v>1034.895</v>
      </c>
      <c r="H13" s="3" t="s">
        <v>35</v>
      </c>
      <c r="I13" s="3" t="s">
        <v>139</v>
      </c>
      <c r="J13" s="3" t="s">
        <v>32</v>
      </c>
      <c r="K13" s="3" t="s">
        <v>37</v>
      </c>
      <c r="L13" s="3" t="s">
        <v>38</v>
      </c>
      <c r="M13" s="3" t="s">
        <v>32</v>
      </c>
    </row>
    <row r="14" ht="22.5" customHeight="1">
      <c r="A14" s="3">
        <v>2079067.0</v>
      </c>
      <c r="B14" s="3" t="s">
        <v>694</v>
      </c>
      <c r="C14" s="4">
        <v>5.51599764861E12</v>
      </c>
      <c r="D14" s="3" t="s">
        <v>58</v>
      </c>
      <c r="E14" s="5">
        <v>369.99</v>
      </c>
      <c r="F14" s="6">
        <v>0.25</v>
      </c>
      <c r="G14" s="7">
        <f t="shared" si="1"/>
        <v>277.4925</v>
      </c>
      <c r="H14" s="3" t="s">
        <v>150</v>
      </c>
      <c r="I14" s="3" t="s">
        <v>31</v>
      </c>
      <c r="J14" s="3" t="s">
        <v>32</v>
      </c>
      <c r="K14" s="3" t="s">
        <v>108</v>
      </c>
      <c r="L14" s="3" t="s">
        <v>31</v>
      </c>
      <c r="M14" s="3" t="s">
        <v>32</v>
      </c>
      <c r="N14" s="3" t="s">
        <v>36</v>
      </c>
      <c r="O14" s="3" t="s">
        <v>31</v>
      </c>
      <c r="P14" s="3" t="s">
        <v>32</v>
      </c>
    </row>
    <row r="15" ht="22.5" customHeight="1">
      <c r="A15" s="3">
        <v>2079065.0</v>
      </c>
      <c r="B15" s="3" t="s">
        <v>695</v>
      </c>
      <c r="C15" s="4">
        <v>5.515997275285E12</v>
      </c>
      <c r="D15" s="3" t="s">
        <v>677</v>
      </c>
      <c r="E15" s="5">
        <v>1531.62</v>
      </c>
      <c r="F15" s="6">
        <v>0.25</v>
      </c>
      <c r="G15" s="7">
        <f t="shared" si="1"/>
        <v>1148.715</v>
      </c>
      <c r="H15" s="3" t="s">
        <v>37</v>
      </c>
      <c r="I15" s="3" t="s">
        <v>696</v>
      </c>
      <c r="J15" s="3" t="s">
        <v>254</v>
      </c>
    </row>
    <row r="16" ht="22.5" customHeight="1">
      <c r="A16" s="3">
        <v>2079014.0</v>
      </c>
      <c r="B16" s="3" t="s">
        <v>697</v>
      </c>
      <c r="C16" s="4">
        <v>5.515996643114E12</v>
      </c>
      <c r="D16" s="3" t="s">
        <v>677</v>
      </c>
      <c r="E16" s="5">
        <v>977.3</v>
      </c>
      <c r="F16" s="6">
        <v>0.25</v>
      </c>
      <c r="G16" s="7">
        <f t="shared" si="1"/>
        <v>732.975</v>
      </c>
      <c r="H16" s="3" t="s">
        <v>536</v>
      </c>
      <c r="I16" s="3" t="s">
        <v>126</v>
      </c>
      <c r="J16" s="3" t="s">
        <v>32</v>
      </c>
      <c r="K16" s="3" t="s">
        <v>37</v>
      </c>
      <c r="L16" s="3" t="s">
        <v>698</v>
      </c>
      <c r="M16" s="3" t="s">
        <v>70</v>
      </c>
    </row>
    <row r="17" ht="22.5" customHeight="1">
      <c r="A17" s="3">
        <v>2078655.0</v>
      </c>
      <c r="B17" s="3" t="s">
        <v>699</v>
      </c>
      <c r="C17" s="4">
        <v>5.515988018995E12</v>
      </c>
      <c r="D17" s="3" t="s">
        <v>677</v>
      </c>
      <c r="E17" s="5">
        <v>2319.13</v>
      </c>
      <c r="F17" s="6">
        <v>0.25</v>
      </c>
      <c r="G17" s="7">
        <f t="shared" si="1"/>
        <v>1739.3475</v>
      </c>
      <c r="H17" s="3" t="s">
        <v>83</v>
      </c>
      <c r="I17" s="3" t="s">
        <v>225</v>
      </c>
      <c r="J17" s="3" t="s">
        <v>32</v>
      </c>
      <c r="K17" s="3" t="s">
        <v>85</v>
      </c>
      <c r="L17" s="3" t="s">
        <v>225</v>
      </c>
      <c r="M17" s="3" t="s">
        <v>32</v>
      </c>
      <c r="N17" s="3" t="s">
        <v>222</v>
      </c>
      <c r="O17" s="3" t="s">
        <v>225</v>
      </c>
      <c r="P17" s="3" t="s">
        <v>32</v>
      </c>
    </row>
    <row r="18" ht="22.5" customHeight="1">
      <c r="A18" s="3">
        <v>2078048.0</v>
      </c>
      <c r="B18" s="3" t="s">
        <v>700</v>
      </c>
      <c r="C18" s="4">
        <v>5.515991133007E12</v>
      </c>
      <c r="D18" s="3" t="s">
        <v>677</v>
      </c>
      <c r="E18" s="5">
        <v>1520.04</v>
      </c>
      <c r="F18" s="6">
        <v>0.25</v>
      </c>
      <c r="G18" s="7">
        <f t="shared" si="1"/>
        <v>1140.03</v>
      </c>
      <c r="H18" s="3" t="s">
        <v>150</v>
      </c>
      <c r="I18" s="3" t="s">
        <v>31</v>
      </c>
      <c r="J18" s="3" t="s">
        <v>32</v>
      </c>
      <c r="K18" s="3" t="s">
        <v>130</v>
      </c>
      <c r="L18" s="3" t="s">
        <v>84</v>
      </c>
      <c r="M18" s="3" t="s">
        <v>32</v>
      </c>
      <c r="N18" s="3" t="s">
        <v>133</v>
      </c>
      <c r="O18" s="3" t="s">
        <v>84</v>
      </c>
      <c r="P18" s="3" t="s">
        <v>32</v>
      </c>
    </row>
    <row r="19" ht="22.5" customHeight="1">
      <c r="A19" s="3">
        <v>2078039.0</v>
      </c>
      <c r="B19" s="3" t="s">
        <v>700</v>
      </c>
      <c r="C19" s="4">
        <v>5.515991133007E12</v>
      </c>
      <c r="D19" s="3" t="s">
        <v>677</v>
      </c>
      <c r="E19" s="5">
        <v>1724.5</v>
      </c>
      <c r="F19" s="6">
        <v>0.25</v>
      </c>
      <c r="G19" s="7">
        <f t="shared" si="1"/>
        <v>1293.375</v>
      </c>
      <c r="H19" s="3" t="s">
        <v>150</v>
      </c>
      <c r="I19" s="3" t="s">
        <v>31</v>
      </c>
      <c r="J19" s="3" t="s">
        <v>32</v>
      </c>
      <c r="K19" s="3" t="s">
        <v>130</v>
      </c>
      <c r="L19" s="3" t="s">
        <v>84</v>
      </c>
      <c r="M19" s="3" t="s">
        <v>32</v>
      </c>
      <c r="N19" s="3" t="s">
        <v>133</v>
      </c>
      <c r="O19" s="3" t="s">
        <v>84</v>
      </c>
      <c r="P19" s="3" t="s">
        <v>32</v>
      </c>
    </row>
    <row r="20" ht="22.5" customHeight="1">
      <c r="A20" s="3">
        <v>2077805.0</v>
      </c>
      <c r="B20" s="3" t="s">
        <v>701</v>
      </c>
      <c r="C20" s="4">
        <v>5.515997596631E12</v>
      </c>
      <c r="D20" s="3" t="s">
        <v>702</v>
      </c>
      <c r="E20" s="5">
        <v>1148.24</v>
      </c>
      <c r="F20" s="6">
        <v>0.25</v>
      </c>
      <c r="G20" s="7">
        <f t="shared" si="1"/>
        <v>861.18</v>
      </c>
      <c r="H20" s="3" t="s">
        <v>108</v>
      </c>
      <c r="I20" s="3" t="s">
        <v>31</v>
      </c>
      <c r="J20" s="3" t="s">
        <v>32</v>
      </c>
      <c r="K20" s="3" t="s">
        <v>37</v>
      </c>
      <c r="L20" s="3" t="s">
        <v>703</v>
      </c>
      <c r="M20" s="3" t="s">
        <v>170</v>
      </c>
    </row>
    <row r="21" ht="22.5" customHeight="1">
      <c r="A21" s="3">
        <v>2077445.0</v>
      </c>
      <c r="B21" s="3" t="s">
        <v>704</v>
      </c>
      <c r="C21" s="4">
        <v>4.196946822E9</v>
      </c>
      <c r="D21" s="3" t="s">
        <v>40</v>
      </c>
      <c r="E21" s="5">
        <v>3650.0</v>
      </c>
      <c r="F21" s="6">
        <v>0.25</v>
      </c>
      <c r="G21" s="7">
        <f t="shared" si="1"/>
        <v>2737.5</v>
      </c>
      <c r="H21" s="3" t="s">
        <v>41</v>
      </c>
      <c r="I21" s="3" t="s">
        <v>31</v>
      </c>
      <c r="J21" s="3" t="s">
        <v>32</v>
      </c>
    </row>
    <row r="22" ht="22.5" customHeight="1">
      <c r="A22" s="3">
        <v>2076868.0</v>
      </c>
      <c r="B22" s="3" t="s">
        <v>705</v>
      </c>
      <c r="C22" s="4">
        <v>5.515981258129E12</v>
      </c>
      <c r="D22" s="3" t="s">
        <v>58</v>
      </c>
      <c r="E22" s="5">
        <v>1792.72</v>
      </c>
      <c r="F22" s="6">
        <v>0.25</v>
      </c>
      <c r="G22" s="7">
        <f t="shared" si="1"/>
        <v>1344.54</v>
      </c>
      <c r="H22" s="3" t="s">
        <v>30</v>
      </c>
      <c r="I22" s="3" t="s">
        <v>31</v>
      </c>
      <c r="J22" s="3" t="s">
        <v>32</v>
      </c>
      <c r="K22" s="3" t="s">
        <v>108</v>
      </c>
      <c r="L22" s="3" t="s">
        <v>31</v>
      </c>
      <c r="M22" s="3" t="s">
        <v>32</v>
      </c>
      <c r="N22" s="3" t="s">
        <v>37</v>
      </c>
      <c r="O22" s="3" t="s">
        <v>706</v>
      </c>
      <c r="P22" s="3" t="s">
        <v>61</v>
      </c>
    </row>
    <row r="23" ht="22.5" customHeight="1">
      <c r="A23" s="3">
        <v>2076665.0</v>
      </c>
      <c r="B23" s="3" t="s">
        <v>707</v>
      </c>
      <c r="C23" s="4">
        <v>5.515988200344E12</v>
      </c>
      <c r="D23" s="3" t="s">
        <v>40</v>
      </c>
      <c r="E23" s="5">
        <v>127.57</v>
      </c>
      <c r="F23" s="6">
        <v>0.25</v>
      </c>
      <c r="G23" s="7">
        <f t="shared" si="1"/>
        <v>95.6775</v>
      </c>
      <c r="H23" s="3" t="s">
        <v>150</v>
      </c>
      <c r="I23" s="3" t="s">
        <v>31</v>
      </c>
      <c r="J23" s="3" t="s">
        <v>32</v>
      </c>
      <c r="K23" s="3" t="s">
        <v>37</v>
      </c>
      <c r="L23" s="3" t="s">
        <v>139</v>
      </c>
      <c r="M23" s="3" t="s">
        <v>32</v>
      </c>
    </row>
    <row r="24" ht="22.5" customHeight="1">
      <c r="A24" s="3">
        <v>2076331.0</v>
      </c>
      <c r="B24" s="3" t="s">
        <v>708</v>
      </c>
      <c r="C24" s="4">
        <v>5.515996361594E12</v>
      </c>
      <c r="D24" s="3" t="s">
        <v>40</v>
      </c>
      <c r="E24" s="5">
        <v>383.43</v>
      </c>
      <c r="F24" s="6">
        <v>0.25</v>
      </c>
      <c r="G24" s="7">
        <f t="shared" si="1"/>
        <v>287.5725</v>
      </c>
      <c r="H24" s="3" t="s">
        <v>150</v>
      </c>
      <c r="I24" s="3" t="s">
        <v>31</v>
      </c>
      <c r="J24" s="3" t="s">
        <v>32</v>
      </c>
      <c r="K24" s="3" t="s">
        <v>62</v>
      </c>
      <c r="L24" s="3" t="s">
        <v>259</v>
      </c>
      <c r="M24" s="3" t="s">
        <v>56</v>
      </c>
    </row>
    <row r="25" ht="22.5" customHeight="1">
      <c r="A25" s="3">
        <v>2076215.0</v>
      </c>
      <c r="B25" s="3" t="s">
        <v>709</v>
      </c>
      <c r="C25" s="4">
        <v>5.515997181371E12</v>
      </c>
      <c r="D25" s="3" t="s">
        <v>68</v>
      </c>
      <c r="E25" s="5">
        <v>6116.75</v>
      </c>
      <c r="F25" s="6">
        <v>0.25</v>
      </c>
      <c r="G25" s="7">
        <f t="shared" si="1"/>
        <v>4587.5625</v>
      </c>
      <c r="H25" s="3" t="s">
        <v>33</v>
      </c>
      <c r="I25" s="3" t="s">
        <v>710</v>
      </c>
      <c r="J25" s="3" t="s">
        <v>56</v>
      </c>
      <c r="K25" s="3" t="s">
        <v>35</v>
      </c>
      <c r="L25" s="3" t="s">
        <v>710</v>
      </c>
      <c r="M25" s="3" t="s">
        <v>56</v>
      </c>
      <c r="N25" s="3" t="s">
        <v>37</v>
      </c>
      <c r="O25" s="3" t="s">
        <v>199</v>
      </c>
      <c r="P25" s="3" t="s">
        <v>32</v>
      </c>
    </row>
    <row r="26" ht="22.5" customHeight="1">
      <c r="A26" s="3">
        <v>2075962.0</v>
      </c>
      <c r="B26" s="3" t="s">
        <v>711</v>
      </c>
      <c r="C26" s="4">
        <v>5.515991576184E12</v>
      </c>
      <c r="D26" s="3" t="s">
        <v>360</v>
      </c>
      <c r="E26" s="5">
        <v>1367.75</v>
      </c>
      <c r="F26" s="6">
        <v>0.25</v>
      </c>
      <c r="G26" s="7">
        <f t="shared" si="1"/>
        <v>1025.8125</v>
      </c>
      <c r="H26" s="3" t="s">
        <v>66</v>
      </c>
      <c r="I26" s="3" t="s">
        <v>31</v>
      </c>
      <c r="J26" s="3" t="s">
        <v>32</v>
      </c>
      <c r="K26" s="3" t="s">
        <v>150</v>
      </c>
      <c r="L26" s="3" t="s">
        <v>31</v>
      </c>
      <c r="M26" s="3" t="s">
        <v>32</v>
      </c>
      <c r="N26" s="3" t="s">
        <v>206</v>
      </c>
      <c r="O26" s="3" t="s">
        <v>31</v>
      </c>
      <c r="P26" s="3" t="s">
        <v>32</v>
      </c>
    </row>
    <row r="27" ht="22.5" customHeight="1">
      <c r="A27" s="3">
        <v>2075847.0</v>
      </c>
      <c r="B27" s="3" t="s">
        <v>712</v>
      </c>
      <c r="C27" s="4">
        <v>5.511961397897E12</v>
      </c>
      <c r="D27" s="3" t="s">
        <v>689</v>
      </c>
      <c r="E27" s="5">
        <v>320.44</v>
      </c>
      <c r="F27" s="6">
        <v>0.25</v>
      </c>
      <c r="G27" s="7">
        <f t="shared" si="1"/>
        <v>240.33</v>
      </c>
      <c r="H27" s="3" t="s">
        <v>150</v>
      </c>
      <c r="I27" s="3" t="s">
        <v>31</v>
      </c>
      <c r="J27" s="3" t="s">
        <v>32</v>
      </c>
      <c r="K27" s="3" t="s">
        <v>37</v>
      </c>
      <c r="L27" s="3" t="s">
        <v>713</v>
      </c>
      <c r="M27" s="3" t="s">
        <v>56</v>
      </c>
    </row>
    <row r="28" ht="22.5" customHeight="1">
      <c r="A28" s="3">
        <v>2075456.0</v>
      </c>
      <c r="B28" s="3" t="s">
        <v>714</v>
      </c>
      <c r="C28" s="4">
        <v>5.515996822449E12</v>
      </c>
      <c r="D28" s="3" t="s">
        <v>360</v>
      </c>
      <c r="E28" s="5">
        <v>1255.25</v>
      </c>
      <c r="F28" s="6">
        <v>0.25</v>
      </c>
      <c r="G28" s="7">
        <f t="shared" si="1"/>
        <v>941.4375</v>
      </c>
      <c r="H28" s="3" t="s">
        <v>150</v>
      </c>
      <c r="I28" s="3" t="s">
        <v>31</v>
      </c>
      <c r="J28" s="3" t="s">
        <v>32</v>
      </c>
      <c r="K28" s="3" t="s">
        <v>91</v>
      </c>
      <c r="L28" s="3" t="s">
        <v>431</v>
      </c>
      <c r="M28" s="3" t="s">
        <v>32</v>
      </c>
      <c r="N28" s="3" t="s">
        <v>36</v>
      </c>
      <c r="O28" s="3" t="s">
        <v>31</v>
      </c>
      <c r="P28" s="3" t="s">
        <v>32</v>
      </c>
      <c r="Q28" s="3" t="s">
        <v>37</v>
      </c>
      <c r="R28" s="3" t="s">
        <v>715</v>
      </c>
      <c r="S28" s="3" t="s">
        <v>170</v>
      </c>
    </row>
    <row r="29" ht="22.5" customHeight="1">
      <c r="A29" s="3">
        <v>2074179.0</v>
      </c>
      <c r="B29" s="3" t="s">
        <v>716</v>
      </c>
      <c r="C29" s="4">
        <v>5.515997965497E12</v>
      </c>
      <c r="D29" s="3" t="s">
        <v>89</v>
      </c>
      <c r="E29" s="5">
        <v>6372.86</v>
      </c>
      <c r="F29" s="6">
        <v>0.25</v>
      </c>
      <c r="G29" s="7">
        <f t="shared" si="1"/>
        <v>4779.645</v>
      </c>
      <c r="H29" s="3" t="s">
        <v>33</v>
      </c>
      <c r="I29" s="3" t="s">
        <v>717</v>
      </c>
      <c r="J29" s="3" t="s">
        <v>56</v>
      </c>
      <c r="K29" s="3" t="s">
        <v>35</v>
      </c>
      <c r="L29" s="3" t="s">
        <v>717</v>
      </c>
      <c r="M29" s="3" t="s">
        <v>56</v>
      </c>
      <c r="N29" s="3" t="s">
        <v>108</v>
      </c>
      <c r="O29" s="3" t="s">
        <v>31</v>
      </c>
      <c r="P29" s="3" t="s">
        <v>56</v>
      </c>
      <c r="Q29" s="3" t="s">
        <v>168</v>
      </c>
      <c r="R29" s="3" t="s">
        <v>31</v>
      </c>
      <c r="S29" s="3" t="s">
        <v>32</v>
      </c>
      <c r="T29" s="3" t="s">
        <v>37</v>
      </c>
      <c r="U29" s="3" t="s">
        <v>718</v>
      </c>
      <c r="V29" s="3" t="s">
        <v>61</v>
      </c>
    </row>
    <row r="30" ht="22.5" customHeight="1">
      <c r="A30" s="3">
        <v>2074112.0</v>
      </c>
      <c r="B30" s="3" t="s">
        <v>719</v>
      </c>
      <c r="C30" s="4">
        <v>5.515991725694E12</v>
      </c>
      <c r="D30" s="3" t="s">
        <v>677</v>
      </c>
      <c r="E30" s="5">
        <v>1121.63</v>
      </c>
      <c r="F30" s="6">
        <v>0.25</v>
      </c>
      <c r="G30" s="7">
        <f t="shared" si="1"/>
        <v>841.2225</v>
      </c>
      <c r="H30" s="3" t="s">
        <v>150</v>
      </c>
      <c r="I30" s="3" t="s">
        <v>31</v>
      </c>
      <c r="J30" s="3" t="s">
        <v>32</v>
      </c>
      <c r="K30" s="3" t="s">
        <v>132</v>
      </c>
      <c r="L30" s="3" t="s">
        <v>74</v>
      </c>
      <c r="M30" s="3" t="s">
        <v>32</v>
      </c>
      <c r="N30" s="3" t="s">
        <v>37</v>
      </c>
      <c r="O30" s="3" t="s">
        <v>74</v>
      </c>
      <c r="P30" s="3" t="s">
        <v>32</v>
      </c>
    </row>
    <row r="31" ht="22.5" customHeight="1">
      <c r="A31" s="3">
        <v>2073654.0</v>
      </c>
      <c r="B31" s="3" t="s">
        <v>720</v>
      </c>
      <c r="C31" s="4">
        <v>5.515996080807E12</v>
      </c>
      <c r="D31" s="3" t="s">
        <v>29</v>
      </c>
      <c r="E31" s="5">
        <v>1021.12</v>
      </c>
      <c r="F31" s="6">
        <v>0.25</v>
      </c>
      <c r="G31" s="7">
        <f t="shared" si="1"/>
        <v>765.84</v>
      </c>
      <c r="H31" s="3" t="s">
        <v>150</v>
      </c>
      <c r="I31" s="3" t="s">
        <v>31</v>
      </c>
      <c r="J31" s="3" t="s">
        <v>32</v>
      </c>
      <c r="K31" s="3" t="s">
        <v>37</v>
      </c>
      <c r="L31" s="3" t="s">
        <v>279</v>
      </c>
      <c r="M31" s="3" t="s">
        <v>186</v>
      </c>
    </row>
    <row r="32" ht="22.5" customHeight="1">
      <c r="A32" s="3">
        <v>2073544.0</v>
      </c>
      <c r="B32" s="3" t="s">
        <v>721</v>
      </c>
      <c r="C32" s="4">
        <v>5.515981484728E12</v>
      </c>
      <c r="D32" s="3" t="s">
        <v>702</v>
      </c>
      <c r="E32" s="5">
        <v>1308.25</v>
      </c>
      <c r="F32" s="6">
        <v>0.25</v>
      </c>
      <c r="G32" s="7">
        <f t="shared" si="1"/>
        <v>981.1875</v>
      </c>
      <c r="H32" s="3" t="s">
        <v>150</v>
      </c>
      <c r="I32" s="3" t="s">
        <v>31</v>
      </c>
      <c r="J32" s="3" t="s">
        <v>32</v>
      </c>
      <c r="K32" s="3" t="s">
        <v>130</v>
      </c>
      <c r="L32" s="3" t="s">
        <v>38</v>
      </c>
      <c r="M32" s="3" t="s">
        <v>32</v>
      </c>
    </row>
    <row r="33" ht="22.5" customHeight="1">
      <c r="A33" s="3">
        <v>2073434.0</v>
      </c>
      <c r="B33" s="3" t="s">
        <v>722</v>
      </c>
      <c r="C33" s="4">
        <v>5.515997376357E12</v>
      </c>
      <c r="D33" s="3" t="s">
        <v>689</v>
      </c>
      <c r="E33" s="5">
        <v>338.48</v>
      </c>
      <c r="F33" s="6">
        <v>0.25</v>
      </c>
      <c r="G33" s="7">
        <f t="shared" si="1"/>
        <v>253.86</v>
      </c>
      <c r="H33" s="3" t="s">
        <v>150</v>
      </c>
      <c r="I33" s="3" t="s">
        <v>31</v>
      </c>
      <c r="J33" s="3" t="s">
        <v>32</v>
      </c>
      <c r="K33" s="3" t="s">
        <v>54</v>
      </c>
      <c r="L33" s="3" t="s">
        <v>723</v>
      </c>
      <c r="M33" s="3" t="s">
        <v>56</v>
      </c>
    </row>
    <row r="34" ht="22.5" customHeight="1">
      <c r="A34" s="3">
        <v>2073018.0</v>
      </c>
      <c r="B34" s="3" t="s">
        <v>724</v>
      </c>
      <c r="C34" s="4">
        <v>5.515996294382E12</v>
      </c>
      <c r="D34" s="3" t="s">
        <v>702</v>
      </c>
      <c r="E34" s="5">
        <v>581.04</v>
      </c>
      <c r="F34" s="6">
        <v>0.25</v>
      </c>
      <c r="G34" s="7">
        <f t="shared" si="1"/>
        <v>435.78</v>
      </c>
      <c r="H34" s="3" t="s">
        <v>150</v>
      </c>
      <c r="I34" s="3" t="s">
        <v>31</v>
      </c>
      <c r="J34" s="3" t="s">
        <v>32</v>
      </c>
      <c r="K34" s="3" t="s">
        <v>108</v>
      </c>
      <c r="L34" s="3" t="s">
        <v>31</v>
      </c>
      <c r="M34" s="3" t="s">
        <v>32</v>
      </c>
      <c r="N34" s="3" t="s">
        <v>725</v>
      </c>
      <c r="O34" s="3" t="s">
        <v>131</v>
      </c>
      <c r="P34" s="3" t="s">
        <v>32</v>
      </c>
    </row>
    <row r="35" ht="22.5" customHeight="1">
      <c r="A35" s="3">
        <v>2072644.0</v>
      </c>
      <c r="B35" s="3" t="s">
        <v>726</v>
      </c>
      <c r="C35" s="4">
        <v>5.515988065793E12</v>
      </c>
      <c r="D35" s="3" t="s">
        <v>702</v>
      </c>
      <c r="E35" s="5">
        <v>695.11</v>
      </c>
      <c r="F35" s="6">
        <v>0.25</v>
      </c>
      <c r="G35" s="7">
        <f t="shared" si="1"/>
        <v>521.3325</v>
      </c>
      <c r="H35" s="3" t="s">
        <v>150</v>
      </c>
      <c r="I35" s="3" t="s">
        <v>31</v>
      </c>
      <c r="J35" s="3" t="s">
        <v>32</v>
      </c>
      <c r="K35" s="3" t="s">
        <v>410</v>
      </c>
      <c r="L35" s="3" t="s">
        <v>74</v>
      </c>
      <c r="M35" s="3" t="s">
        <v>32</v>
      </c>
      <c r="N35" s="3" t="s">
        <v>37</v>
      </c>
      <c r="O35" s="3" t="s">
        <v>63</v>
      </c>
      <c r="P35" s="3" t="s">
        <v>32</v>
      </c>
    </row>
    <row r="36" ht="22.5" customHeight="1">
      <c r="A36" s="3">
        <v>2071369.0</v>
      </c>
      <c r="B36" s="3" t="s">
        <v>727</v>
      </c>
      <c r="C36" s="4">
        <v>5.515991161748E12</v>
      </c>
      <c r="D36" s="3" t="s">
        <v>184</v>
      </c>
      <c r="E36" s="5">
        <v>4800.26</v>
      </c>
      <c r="F36" s="6">
        <v>0.25</v>
      </c>
      <c r="G36" s="7">
        <f t="shared" si="1"/>
        <v>3600.195</v>
      </c>
      <c r="H36" s="3" t="s">
        <v>150</v>
      </c>
      <c r="I36" s="3" t="s">
        <v>31</v>
      </c>
      <c r="J36" s="3" t="s">
        <v>32</v>
      </c>
      <c r="K36" s="3" t="s">
        <v>132</v>
      </c>
      <c r="L36" s="3" t="s">
        <v>74</v>
      </c>
      <c r="M36" s="3" t="s">
        <v>32</v>
      </c>
      <c r="N36" s="3" t="s">
        <v>108</v>
      </c>
      <c r="O36" s="3" t="s">
        <v>31</v>
      </c>
      <c r="P36" s="3" t="s">
        <v>32</v>
      </c>
      <c r="Q36" s="3" t="s">
        <v>143</v>
      </c>
      <c r="R36" s="3" t="s">
        <v>50</v>
      </c>
      <c r="S36" s="3" t="s">
        <v>32</v>
      </c>
      <c r="T36" s="3" t="s">
        <v>165</v>
      </c>
      <c r="U36" s="3" t="s">
        <v>44</v>
      </c>
      <c r="V36" s="3" t="s">
        <v>32</v>
      </c>
      <c r="W36" s="3" t="s">
        <v>37</v>
      </c>
      <c r="X36" s="3" t="s">
        <v>728</v>
      </c>
      <c r="Y36" s="3" t="s">
        <v>56</v>
      </c>
    </row>
    <row r="37" ht="22.5" customHeight="1">
      <c r="A37" s="3">
        <v>2071363.0</v>
      </c>
      <c r="B37" s="3" t="s">
        <v>729</v>
      </c>
      <c r="C37" s="4">
        <v>5.515988267759E12</v>
      </c>
      <c r="D37" s="3" t="s">
        <v>184</v>
      </c>
      <c r="E37" s="5">
        <v>4690.6</v>
      </c>
      <c r="F37" s="6">
        <v>0.25</v>
      </c>
      <c r="G37" s="7">
        <f t="shared" si="1"/>
        <v>3517.95</v>
      </c>
      <c r="H37" s="3" t="s">
        <v>150</v>
      </c>
      <c r="I37" s="3" t="s">
        <v>31</v>
      </c>
      <c r="J37" s="3" t="s">
        <v>32</v>
      </c>
      <c r="K37" s="3" t="s">
        <v>41</v>
      </c>
      <c r="L37" s="3" t="s">
        <v>31</v>
      </c>
      <c r="M37" s="3" t="s">
        <v>32</v>
      </c>
    </row>
    <row r="38" ht="22.5" customHeight="1">
      <c r="A38" s="3">
        <v>2071250.0</v>
      </c>
      <c r="B38" s="3" t="s">
        <v>730</v>
      </c>
      <c r="C38" s="4">
        <v>5.515991899184E12</v>
      </c>
      <c r="D38" s="3" t="s">
        <v>68</v>
      </c>
      <c r="E38" s="5">
        <v>702.4</v>
      </c>
      <c r="F38" s="6">
        <v>0.25</v>
      </c>
      <c r="G38" s="7">
        <f t="shared" si="1"/>
        <v>526.8</v>
      </c>
      <c r="H38" s="3" t="s">
        <v>150</v>
      </c>
      <c r="I38" s="3" t="s">
        <v>31</v>
      </c>
      <c r="J38" s="3" t="s">
        <v>32</v>
      </c>
      <c r="K38" s="3" t="s">
        <v>218</v>
      </c>
      <c r="L38" s="3" t="s">
        <v>50</v>
      </c>
      <c r="M38" s="3" t="s">
        <v>32</v>
      </c>
    </row>
    <row r="39" ht="22.5" customHeight="1">
      <c r="A39" s="3">
        <v>2070679.0</v>
      </c>
      <c r="B39" s="3" t="s">
        <v>603</v>
      </c>
      <c r="C39" s="4">
        <v>5.515991306687E12</v>
      </c>
      <c r="D39" s="3" t="s">
        <v>40</v>
      </c>
      <c r="E39" s="5">
        <v>936.0</v>
      </c>
      <c r="F39" s="6">
        <v>0.25</v>
      </c>
      <c r="G39" s="7">
        <f t="shared" si="1"/>
        <v>702</v>
      </c>
      <c r="H39" s="3" t="s">
        <v>37</v>
      </c>
      <c r="I39" s="3" t="s">
        <v>731</v>
      </c>
      <c r="J39" s="3" t="s">
        <v>186</v>
      </c>
    </row>
    <row r="40" ht="22.5" customHeight="1">
      <c r="A40" s="3">
        <v>2070674.0</v>
      </c>
      <c r="B40" s="3" t="s">
        <v>603</v>
      </c>
      <c r="C40" s="4">
        <v>5.515991306687E12</v>
      </c>
      <c r="D40" s="3" t="s">
        <v>40</v>
      </c>
      <c r="E40" s="5">
        <v>670.06</v>
      </c>
      <c r="F40" s="6">
        <v>0.25</v>
      </c>
      <c r="G40" s="7">
        <f t="shared" si="1"/>
        <v>502.545</v>
      </c>
      <c r="H40" s="3" t="s">
        <v>37</v>
      </c>
      <c r="I40" s="3" t="s">
        <v>732</v>
      </c>
      <c r="J40" s="3" t="s">
        <v>70</v>
      </c>
    </row>
    <row r="41" ht="22.5" customHeight="1">
      <c r="A41" s="3">
        <v>2086888.0</v>
      </c>
      <c r="B41" s="3" t="s">
        <v>733</v>
      </c>
      <c r="C41" s="4">
        <v>5.515988266719E12</v>
      </c>
      <c r="D41" s="3" t="s">
        <v>677</v>
      </c>
      <c r="E41" s="5">
        <v>1303.55</v>
      </c>
      <c r="F41" s="6">
        <v>0.25</v>
      </c>
      <c r="G41" s="7">
        <f t="shared" si="1"/>
        <v>977.6625</v>
      </c>
      <c r="H41" s="3" t="s">
        <v>59</v>
      </c>
      <c r="I41" s="3" t="s">
        <v>313</v>
      </c>
      <c r="J41" s="3" t="s">
        <v>32</v>
      </c>
      <c r="K41" s="3" t="s">
        <v>37</v>
      </c>
      <c r="L41" s="3" t="s">
        <v>734</v>
      </c>
      <c r="M41" s="3" t="s">
        <v>197</v>
      </c>
    </row>
    <row r="42" ht="22.5" customHeight="1">
      <c r="A42" s="3">
        <v>2086775.0</v>
      </c>
      <c r="B42" s="3" t="s">
        <v>735</v>
      </c>
      <c r="C42" s="4">
        <v>5.515997899741E12</v>
      </c>
      <c r="D42" s="3" t="s">
        <v>677</v>
      </c>
      <c r="E42" s="5">
        <v>875.51</v>
      </c>
      <c r="F42" s="6">
        <v>0.25</v>
      </c>
      <c r="G42" s="7">
        <f t="shared" si="1"/>
        <v>656.6325</v>
      </c>
      <c r="H42" s="3" t="s">
        <v>174</v>
      </c>
      <c r="I42" s="3" t="s">
        <v>440</v>
      </c>
      <c r="J42" s="3" t="s">
        <v>32</v>
      </c>
      <c r="K42" s="3" t="s">
        <v>37</v>
      </c>
      <c r="L42" s="3" t="s">
        <v>736</v>
      </c>
      <c r="M42" s="3" t="s">
        <v>56</v>
      </c>
    </row>
    <row r="43" ht="22.5" customHeight="1">
      <c r="A43" s="3">
        <v>2086542.0</v>
      </c>
      <c r="B43" s="3" t="s">
        <v>737</v>
      </c>
      <c r="C43" s="4">
        <v>5.515998338575E12</v>
      </c>
      <c r="D43" s="3" t="s">
        <v>68</v>
      </c>
      <c r="E43" s="5">
        <v>3175.5</v>
      </c>
      <c r="F43" s="6">
        <v>0.25</v>
      </c>
      <c r="G43" s="7">
        <f t="shared" si="1"/>
        <v>2381.625</v>
      </c>
      <c r="H43" s="3" t="s">
        <v>33</v>
      </c>
      <c r="I43" s="3" t="s">
        <v>34</v>
      </c>
      <c r="J43" s="3" t="s">
        <v>32</v>
      </c>
      <c r="K43" s="3" t="s">
        <v>62</v>
      </c>
      <c r="L43" s="3" t="s">
        <v>34</v>
      </c>
      <c r="M43" s="3" t="s">
        <v>32</v>
      </c>
      <c r="N43" s="3" t="s">
        <v>35</v>
      </c>
      <c r="O43" s="3" t="s">
        <v>34</v>
      </c>
      <c r="P43" s="3" t="s">
        <v>32</v>
      </c>
    </row>
    <row r="44" ht="22.5" customHeight="1">
      <c r="A44" s="3">
        <v>2085958.0</v>
      </c>
      <c r="B44" s="3" t="s">
        <v>738</v>
      </c>
      <c r="C44" s="4">
        <v>5.515991426732E12</v>
      </c>
      <c r="D44" s="3" t="s">
        <v>677</v>
      </c>
      <c r="E44" s="5">
        <v>144.86</v>
      </c>
      <c r="F44" s="6">
        <v>0.25</v>
      </c>
      <c r="G44" s="7">
        <f t="shared" si="1"/>
        <v>108.645</v>
      </c>
      <c r="H44" s="3" t="s">
        <v>739</v>
      </c>
      <c r="I44" s="3" t="s">
        <v>50</v>
      </c>
      <c r="J44" s="3" t="s">
        <v>32</v>
      </c>
      <c r="K44" s="3" t="s">
        <v>150</v>
      </c>
      <c r="L44" s="3" t="s">
        <v>31</v>
      </c>
      <c r="M44" s="3" t="s">
        <v>32</v>
      </c>
    </row>
    <row r="45" ht="22.5" customHeight="1">
      <c r="A45" s="3">
        <v>2085706.0</v>
      </c>
      <c r="B45" s="3" t="s">
        <v>740</v>
      </c>
      <c r="C45" s="4">
        <v>5.515991543965E12</v>
      </c>
      <c r="D45" s="3" t="s">
        <v>29</v>
      </c>
      <c r="E45" s="5">
        <v>29138.17</v>
      </c>
      <c r="F45" s="6">
        <v>0.25</v>
      </c>
      <c r="G45" s="7">
        <f t="shared" si="1"/>
        <v>21853.6275</v>
      </c>
      <c r="H45" s="3" t="s">
        <v>35</v>
      </c>
      <c r="I45" s="3" t="s">
        <v>276</v>
      </c>
      <c r="J45" s="3" t="s">
        <v>271</v>
      </c>
      <c r="K45" s="3" t="s">
        <v>277</v>
      </c>
      <c r="L45" s="3" t="s">
        <v>135</v>
      </c>
      <c r="M45" s="3" t="s">
        <v>56</v>
      </c>
    </row>
    <row r="46" ht="22.5" customHeight="1">
      <c r="A46" s="3">
        <v>2085703.0</v>
      </c>
      <c r="B46" s="3" t="s">
        <v>740</v>
      </c>
      <c r="C46" s="4">
        <v>5.515991543965E12</v>
      </c>
      <c r="D46" s="3" t="s">
        <v>29</v>
      </c>
      <c r="E46" s="5">
        <v>2973.26</v>
      </c>
      <c r="F46" s="6">
        <v>0.25</v>
      </c>
      <c r="G46" s="7">
        <f t="shared" si="1"/>
        <v>2229.945</v>
      </c>
      <c r="H46" s="3" t="s">
        <v>165</v>
      </c>
      <c r="I46" s="3" t="s">
        <v>135</v>
      </c>
      <c r="J46" s="3" t="s">
        <v>56</v>
      </c>
    </row>
    <row r="47" ht="22.5" customHeight="1">
      <c r="A47" s="3">
        <v>2085699.0</v>
      </c>
      <c r="B47" s="3" t="s">
        <v>740</v>
      </c>
      <c r="C47" s="4">
        <v>5.515991543965E12</v>
      </c>
      <c r="D47" s="3" t="s">
        <v>29</v>
      </c>
      <c r="E47" s="5">
        <v>1902.88</v>
      </c>
      <c r="F47" s="6">
        <v>0.25</v>
      </c>
      <c r="G47" s="7">
        <f t="shared" si="1"/>
        <v>1427.16</v>
      </c>
      <c r="H47" s="3" t="s">
        <v>49</v>
      </c>
      <c r="I47" s="3" t="s">
        <v>135</v>
      </c>
      <c r="J47" s="3" t="s">
        <v>56</v>
      </c>
    </row>
    <row r="48" ht="22.5" customHeight="1">
      <c r="A48" s="3">
        <v>2085389.0</v>
      </c>
      <c r="B48" s="3" t="s">
        <v>741</v>
      </c>
      <c r="C48" s="4">
        <v>5.515991694687E12</v>
      </c>
      <c r="D48" s="3" t="s">
        <v>89</v>
      </c>
      <c r="E48" s="5">
        <v>356.83</v>
      </c>
      <c r="F48" s="6">
        <v>0.25</v>
      </c>
      <c r="G48" s="7">
        <f t="shared" si="1"/>
        <v>267.6225</v>
      </c>
      <c r="H48" s="3" t="s">
        <v>108</v>
      </c>
      <c r="I48" s="3" t="s">
        <v>31</v>
      </c>
      <c r="J48" s="3" t="s">
        <v>32</v>
      </c>
      <c r="K48" s="3" t="s">
        <v>36</v>
      </c>
      <c r="L48" s="3" t="s">
        <v>31</v>
      </c>
      <c r="M48" s="3" t="s">
        <v>32</v>
      </c>
    </row>
    <row r="49" ht="22.5" customHeight="1">
      <c r="A49" s="3">
        <v>2085387.0</v>
      </c>
      <c r="B49" s="3" t="s">
        <v>741</v>
      </c>
      <c r="C49" s="4">
        <v>5.515991694687E12</v>
      </c>
      <c r="D49" s="3" t="s">
        <v>89</v>
      </c>
      <c r="E49" s="5">
        <v>1645.47</v>
      </c>
      <c r="F49" s="6">
        <v>0.25</v>
      </c>
      <c r="G49" s="7">
        <f t="shared" si="1"/>
        <v>1234.1025</v>
      </c>
      <c r="H49" s="3" t="s">
        <v>59</v>
      </c>
      <c r="I49" s="3" t="s">
        <v>742</v>
      </c>
      <c r="J49" s="3" t="s">
        <v>61</v>
      </c>
      <c r="K49" s="3" t="s">
        <v>108</v>
      </c>
      <c r="L49" s="3" t="s">
        <v>31</v>
      </c>
      <c r="M49" s="3" t="s">
        <v>32</v>
      </c>
      <c r="N49" s="3" t="s">
        <v>36</v>
      </c>
      <c r="O49" s="3" t="s">
        <v>31</v>
      </c>
      <c r="P49" s="3" t="s">
        <v>32</v>
      </c>
      <c r="Q49" s="3" t="s">
        <v>37</v>
      </c>
      <c r="R49" s="3" t="s">
        <v>743</v>
      </c>
      <c r="S49" s="3" t="s">
        <v>56</v>
      </c>
    </row>
    <row r="50" ht="22.5" customHeight="1">
      <c r="A50" s="3">
        <v>2085178.0</v>
      </c>
      <c r="B50" s="3" t="s">
        <v>744</v>
      </c>
      <c r="C50" s="4">
        <v>5.515996383184E12</v>
      </c>
      <c r="D50" s="3" t="s">
        <v>702</v>
      </c>
      <c r="E50" s="5">
        <v>1010.89</v>
      </c>
      <c r="F50" s="6">
        <v>0.25</v>
      </c>
      <c r="G50" s="7">
        <f t="shared" si="1"/>
        <v>758.1675</v>
      </c>
      <c r="H50" s="3" t="s">
        <v>150</v>
      </c>
      <c r="I50" s="3" t="s">
        <v>31</v>
      </c>
      <c r="J50" s="3" t="s">
        <v>32</v>
      </c>
      <c r="K50" s="3" t="s">
        <v>361</v>
      </c>
      <c r="L50" s="3" t="s">
        <v>74</v>
      </c>
      <c r="M50" s="3" t="s">
        <v>32</v>
      </c>
    </row>
    <row r="51" ht="22.5" customHeight="1">
      <c r="A51" s="3">
        <v>2085012.0</v>
      </c>
      <c r="B51" s="3" t="s">
        <v>745</v>
      </c>
      <c r="C51" s="4">
        <v>5.515996353414E12</v>
      </c>
      <c r="D51" s="3" t="s">
        <v>702</v>
      </c>
      <c r="E51" s="5">
        <v>20921.03</v>
      </c>
      <c r="F51" s="6">
        <v>0.25</v>
      </c>
      <c r="G51" s="7">
        <f t="shared" si="1"/>
        <v>15690.7725</v>
      </c>
      <c r="H51" s="3" t="s">
        <v>33</v>
      </c>
      <c r="I51" s="3" t="s">
        <v>746</v>
      </c>
      <c r="J51" s="3" t="s">
        <v>186</v>
      </c>
      <c r="K51" s="3" t="s">
        <v>91</v>
      </c>
      <c r="L51" s="3" t="s">
        <v>747</v>
      </c>
      <c r="M51" s="3" t="s">
        <v>61</v>
      </c>
      <c r="N51" s="3" t="s">
        <v>35</v>
      </c>
      <c r="O51" s="3" t="s">
        <v>746</v>
      </c>
      <c r="P51" s="3" t="s">
        <v>186</v>
      </c>
      <c r="Q51" s="3" t="s">
        <v>108</v>
      </c>
      <c r="R51" s="3" t="s">
        <v>31</v>
      </c>
      <c r="S51" s="3" t="s">
        <v>56</v>
      </c>
      <c r="T51" s="3" t="s">
        <v>37</v>
      </c>
      <c r="U51" s="3" t="s">
        <v>748</v>
      </c>
      <c r="V51" s="3" t="s">
        <v>271</v>
      </c>
    </row>
    <row r="52" ht="22.5" customHeight="1">
      <c r="A52" s="3">
        <v>2085001.0</v>
      </c>
      <c r="B52" s="3" t="s">
        <v>745</v>
      </c>
      <c r="C52" s="4">
        <v>5.515996353414E12</v>
      </c>
      <c r="D52" s="3" t="s">
        <v>702</v>
      </c>
      <c r="E52" s="5">
        <v>1118.72</v>
      </c>
      <c r="F52" s="6">
        <v>0.25</v>
      </c>
      <c r="G52" s="7">
        <f t="shared" si="1"/>
        <v>839.04</v>
      </c>
      <c r="H52" s="3" t="s">
        <v>91</v>
      </c>
      <c r="I52" s="3" t="s">
        <v>747</v>
      </c>
      <c r="J52" s="3" t="s">
        <v>61</v>
      </c>
      <c r="K52" s="3" t="s">
        <v>108</v>
      </c>
      <c r="L52" s="3" t="s">
        <v>31</v>
      </c>
      <c r="M52" s="3" t="s">
        <v>56</v>
      </c>
    </row>
    <row r="53" ht="22.5" customHeight="1">
      <c r="A53" s="3">
        <v>2084965.0</v>
      </c>
      <c r="B53" s="3" t="s">
        <v>749</v>
      </c>
      <c r="C53" s="4">
        <v>5.515981122373E12</v>
      </c>
      <c r="D53" s="3" t="s">
        <v>58</v>
      </c>
      <c r="E53" s="5">
        <v>251.58</v>
      </c>
      <c r="F53" s="6">
        <v>0.25</v>
      </c>
      <c r="G53" s="7">
        <f t="shared" si="1"/>
        <v>188.685</v>
      </c>
      <c r="H53" s="3" t="s">
        <v>82</v>
      </c>
      <c r="I53" s="3" t="s">
        <v>135</v>
      </c>
      <c r="J53" s="3" t="s">
        <v>32</v>
      </c>
      <c r="K53" s="3" t="s">
        <v>36</v>
      </c>
      <c r="L53" s="3" t="s">
        <v>31</v>
      </c>
      <c r="M53" s="3" t="s">
        <v>32</v>
      </c>
    </row>
    <row r="54" ht="22.5" customHeight="1">
      <c r="A54" s="3">
        <v>2084686.0</v>
      </c>
      <c r="B54" s="3" t="s">
        <v>750</v>
      </c>
      <c r="C54" s="4">
        <v>5.515974023133E12</v>
      </c>
      <c r="D54" s="3" t="s">
        <v>702</v>
      </c>
      <c r="E54" s="5">
        <v>159.46</v>
      </c>
      <c r="F54" s="6">
        <v>0.25</v>
      </c>
      <c r="G54" s="7">
        <f t="shared" si="1"/>
        <v>119.595</v>
      </c>
      <c r="H54" s="3" t="s">
        <v>150</v>
      </c>
      <c r="I54" s="3" t="s">
        <v>31</v>
      </c>
      <c r="J54" s="3" t="s">
        <v>32</v>
      </c>
      <c r="K54" s="3" t="s">
        <v>37</v>
      </c>
      <c r="L54" s="3" t="s">
        <v>131</v>
      </c>
      <c r="M54" s="3" t="s">
        <v>32</v>
      </c>
    </row>
    <row r="55" ht="22.5" customHeight="1">
      <c r="A55" s="3">
        <v>2084082.0</v>
      </c>
      <c r="B55" s="3" t="s">
        <v>751</v>
      </c>
      <c r="C55" s="4">
        <v>5.515988190942E12</v>
      </c>
      <c r="D55" s="3" t="s">
        <v>68</v>
      </c>
      <c r="E55" s="5">
        <v>20554.4</v>
      </c>
      <c r="F55" s="6">
        <v>0.25</v>
      </c>
      <c r="G55" s="7">
        <f t="shared" si="1"/>
        <v>15415.8</v>
      </c>
    </row>
    <row r="56" ht="22.5" customHeight="1">
      <c r="A56" s="3">
        <v>2083754.0</v>
      </c>
      <c r="B56" s="3" t="s">
        <v>752</v>
      </c>
      <c r="C56" s="4">
        <v>5.515996477894E12</v>
      </c>
      <c r="D56" s="3" t="s">
        <v>580</v>
      </c>
      <c r="E56" s="5">
        <v>824.26</v>
      </c>
      <c r="F56" s="6">
        <v>0.25</v>
      </c>
      <c r="G56" s="7">
        <f t="shared" si="1"/>
        <v>618.195</v>
      </c>
      <c r="H56" s="3" t="s">
        <v>150</v>
      </c>
      <c r="I56" s="3" t="s">
        <v>31</v>
      </c>
      <c r="J56" s="3" t="s">
        <v>32</v>
      </c>
      <c r="K56" s="3" t="s">
        <v>203</v>
      </c>
      <c r="L56" s="3" t="s">
        <v>199</v>
      </c>
      <c r="M56" s="3" t="s">
        <v>32</v>
      </c>
      <c r="N56" s="3" t="s">
        <v>37</v>
      </c>
      <c r="O56" s="3" t="s">
        <v>199</v>
      </c>
      <c r="P56" s="3" t="s">
        <v>32</v>
      </c>
    </row>
    <row r="57" ht="22.5" customHeight="1">
      <c r="A57" s="3">
        <v>2083690.0</v>
      </c>
      <c r="B57" s="3" t="s">
        <v>753</v>
      </c>
      <c r="C57" s="4">
        <v>5.515997427906E12</v>
      </c>
      <c r="D57" s="3" t="s">
        <v>68</v>
      </c>
      <c r="E57" s="5">
        <v>323.28</v>
      </c>
      <c r="F57" s="6">
        <v>0.25</v>
      </c>
      <c r="G57" s="7">
        <f t="shared" si="1"/>
        <v>242.46</v>
      </c>
      <c r="H57" s="3" t="s">
        <v>150</v>
      </c>
      <c r="I57" s="3" t="s">
        <v>31</v>
      </c>
      <c r="J57" s="3" t="s">
        <v>32</v>
      </c>
      <c r="K57" s="3" t="s">
        <v>37</v>
      </c>
      <c r="L57" s="3" t="s">
        <v>754</v>
      </c>
      <c r="M57" s="3" t="s">
        <v>56</v>
      </c>
    </row>
    <row r="58" ht="22.5" customHeight="1">
      <c r="A58" s="3">
        <v>2083681.0</v>
      </c>
      <c r="B58" s="3" t="s">
        <v>753</v>
      </c>
      <c r="C58" s="4">
        <v>5.515997427906E12</v>
      </c>
      <c r="D58" s="3" t="s">
        <v>68</v>
      </c>
      <c r="E58" s="5">
        <v>323.28</v>
      </c>
      <c r="F58" s="6">
        <v>0.25</v>
      </c>
      <c r="G58" s="7">
        <f t="shared" si="1"/>
        <v>242.46</v>
      </c>
      <c r="H58" s="3" t="s">
        <v>150</v>
      </c>
      <c r="I58" s="3" t="s">
        <v>31</v>
      </c>
      <c r="J58" s="3" t="s">
        <v>32</v>
      </c>
      <c r="K58" s="3" t="s">
        <v>37</v>
      </c>
      <c r="L58" s="3" t="s">
        <v>754</v>
      </c>
      <c r="M58" s="3" t="s">
        <v>56</v>
      </c>
    </row>
    <row r="59" ht="22.5" customHeight="1">
      <c r="A59" s="3">
        <v>2083301.0</v>
      </c>
      <c r="B59" s="3" t="s">
        <v>755</v>
      </c>
      <c r="C59" s="4">
        <v>5.515974011288E12</v>
      </c>
      <c r="D59" s="3" t="s">
        <v>68</v>
      </c>
      <c r="E59" s="5">
        <v>832.51</v>
      </c>
      <c r="F59" s="6">
        <v>0.25</v>
      </c>
      <c r="G59" s="7">
        <f t="shared" si="1"/>
        <v>624.3825</v>
      </c>
      <c r="H59" s="3" t="s">
        <v>150</v>
      </c>
      <c r="I59" s="3" t="s">
        <v>31</v>
      </c>
      <c r="J59" s="3" t="s">
        <v>32</v>
      </c>
      <c r="K59" s="3" t="s">
        <v>59</v>
      </c>
      <c r="L59" s="3" t="s">
        <v>298</v>
      </c>
      <c r="M59" s="3" t="s">
        <v>56</v>
      </c>
    </row>
    <row r="60" ht="22.5" customHeight="1">
      <c r="A60" s="3">
        <v>2083194.0</v>
      </c>
      <c r="B60" s="3" t="s">
        <v>751</v>
      </c>
      <c r="C60" s="4">
        <v>5.515988190942E12</v>
      </c>
      <c r="D60" s="3" t="s">
        <v>68</v>
      </c>
      <c r="E60" s="5">
        <v>8000.4</v>
      </c>
      <c r="F60" s="6">
        <v>0.25</v>
      </c>
      <c r="G60" s="7">
        <f t="shared" si="1"/>
        <v>6000.3</v>
      </c>
    </row>
    <row r="61" ht="22.5" customHeight="1">
      <c r="A61" s="3">
        <v>2083115.0</v>
      </c>
      <c r="B61" s="3" t="s">
        <v>708</v>
      </c>
      <c r="C61" s="4">
        <v>5.515988111853E12</v>
      </c>
      <c r="D61" s="3" t="s">
        <v>40</v>
      </c>
      <c r="E61" s="5">
        <v>1605.52</v>
      </c>
      <c r="F61" s="6">
        <v>0.25</v>
      </c>
      <c r="G61" s="7">
        <f t="shared" si="1"/>
        <v>1204.14</v>
      </c>
      <c r="H61" s="3" t="s">
        <v>59</v>
      </c>
      <c r="I61" s="3" t="s">
        <v>313</v>
      </c>
      <c r="J61" s="3" t="s">
        <v>32</v>
      </c>
      <c r="K61" s="3" t="s">
        <v>641</v>
      </c>
      <c r="L61" s="3" t="s">
        <v>262</v>
      </c>
      <c r="M61" s="3" t="s">
        <v>32</v>
      </c>
    </row>
    <row r="62" ht="22.5" customHeight="1">
      <c r="A62" s="3">
        <v>2082891.0</v>
      </c>
      <c r="B62" s="3" t="s">
        <v>756</v>
      </c>
      <c r="C62" s="4">
        <v>5.519974219077E12</v>
      </c>
      <c r="D62" s="3" t="s">
        <v>360</v>
      </c>
      <c r="E62" s="5">
        <v>6490.1</v>
      </c>
      <c r="F62" s="6">
        <v>0.25</v>
      </c>
      <c r="G62" s="7">
        <f t="shared" si="1"/>
        <v>4867.575</v>
      </c>
      <c r="H62" s="3" t="s">
        <v>203</v>
      </c>
      <c r="I62" s="3" t="s">
        <v>448</v>
      </c>
      <c r="J62" s="3" t="s">
        <v>56</v>
      </c>
      <c r="K62" s="3" t="s">
        <v>37</v>
      </c>
      <c r="L62" s="3" t="s">
        <v>448</v>
      </c>
      <c r="M62" s="3" t="s">
        <v>56</v>
      </c>
      <c r="N62" s="3" t="s">
        <v>41</v>
      </c>
      <c r="O62" s="3" t="s">
        <v>31</v>
      </c>
      <c r="P62" s="3" t="s">
        <v>32</v>
      </c>
    </row>
    <row r="63" ht="22.5" customHeight="1">
      <c r="A63" s="3">
        <v>2082226.0</v>
      </c>
      <c r="B63" s="3" t="s">
        <v>757</v>
      </c>
      <c r="C63" s="4">
        <v>5.515981567017E12</v>
      </c>
      <c r="D63" s="3" t="s">
        <v>89</v>
      </c>
      <c r="E63" s="5">
        <v>3040.12</v>
      </c>
      <c r="F63" s="6">
        <v>0.25</v>
      </c>
      <c r="G63" s="7">
        <f t="shared" si="1"/>
        <v>2280.09</v>
      </c>
      <c r="H63" s="3" t="s">
        <v>150</v>
      </c>
      <c r="I63" s="3" t="s">
        <v>31</v>
      </c>
      <c r="J63" s="3" t="s">
        <v>32</v>
      </c>
      <c r="K63" s="3" t="s">
        <v>132</v>
      </c>
      <c r="L63" s="3" t="s">
        <v>104</v>
      </c>
      <c r="M63" s="3" t="s">
        <v>32</v>
      </c>
      <c r="N63" s="3" t="s">
        <v>91</v>
      </c>
      <c r="O63" s="3" t="s">
        <v>63</v>
      </c>
      <c r="P63" s="3" t="s">
        <v>32</v>
      </c>
      <c r="Q63" s="3" t="s">
        <v>165</v>
      </c>
      <c r="R63" s="3" t="s">
        <v>44</v>
      </c>
      <c r="S63" s="3" t="s">
        <v>32</v>
      </c>
      <c r="T63" s="3" t="s">
        <v>37</v>
      </c>
      <c r="U63" s="3" t="s">
        <v>758</v>
      </c>
      <c r="V63" s="3" t="s">
        <v>56</v>
      </c>
    </row>
    <row r="64" ht="22.5" customHeight="1">
      <c r="A64" s="3">
        <v>2082191.0</v>
      </c>
      <c r="B64" s="3" t="s">
        <v>737</v>
      </c>
      <c r="C64" s="4">
        <v>5.515998338575E12</v>
      </c>
      <c r="D64" s="3" t="s">
        <v>68</v>
      </c>
      <c r="E64" s="5">
        <v>3532.25</v>
      </c>
      <c r="F64" s="6">
        <v>0.25</v>
      </c>
      <c r="G64" s="7">
        <f t="shared" si="1"/>
        <v>2649.1875</v>
      </c>
      <c r="H64" s="3" t="s">
        <v>33</v>
      </c>
      <c r="I64" s="3" t="s">
        <v>34</v>
      </c>
      <c r="J64" s="3" t="s">
        <v>32</v>
      </c>
      <c r="K64" s="3" t="s">
        <v>62</v>
      </c>
      <c r="L64" s="3" t="s">
        <v>34</v>
      </c>
      <c r="M64" s="3" t="s">
        <v>32</v>
      </c>
      <c r="N64" s="3" t="s">
        <v>35</v>
      </c>
      <c r="O64" s="3" t="s">
        <v>34</v>
      </c>
      <c r="P64" s="3" t="s">
        <v>32</v>
      </c>
      <c r="Q64" s="3" t="s">
        <v>222</v>
      </c>
      <c r="R64" s="3" t="s">
        <v>34</v>
      </c>
      <c r="S64" s="3" t="s">
        <v>32</v>
      </c>
    </row>
    <row r="65" ht="22.5" customHeight="1">
      <c r="A65" s="3">
        <v>2082164.0</v>
      </c>
      <c r="B65" s="3" t="s">
        <v>759</v>
      </c>
      <c r="C65" s="4">
        <v>5.515998193717E12</v>
      </c>
      <c r="D65" s="3" t="s">
        <v>677</v>
      </c>
      <c r="E65" s="5">
        <v>951.49</v>
      </c>
      <c r="F65" s="6">
        <v>0.25</v>
      </c>
      <c r="G65" s="7">
        <f t="shared" si="1"/>
        <v>713.6175</v>
      </c>
      <c r="H65" s="3" t="s">
        <v>150</v>
      </c>
      <c r="I65" s="3" t="s">
        <v>31</v>
      </c>
      <c r="J65" s="3" t="s">
        <v>32</v>
      </c>
      <c r="K65" s="3" t="s">
        <v>132</v>
      </c>
      <c r="L65" s="3" t="s">
        <v>38</v>
      </c>
      <c r="M65" s="3" t="s">
        <v>32</v>
      </c>
    </row>
    <row r="66" ht="22.5" customHeight="1">
      <c r="A66" s="3">
        <v>2082142.0</v>
      </c>
      <c r="B66" s="3" t="s">
        <v>760</v>
      </c>
      <c r="C66" s="4">
        <v>5.511962874888E12</v>
      </c>
      <c r="D66" s="3" t="s">
        <v>89</v>
      </c>
      <c r="E66" s="5">
        <v>491.67</v>
      </c>
      <c r="F66" s="6">
        <v>0.25</v>
      </c>
      <c r="G66" s="7">
        <f t="shared" si="1"/>
        <v>368.7525</v>
      </c>
      <c r="H66" s="3" t="s">
        <v>150</v>
      </c>
      <c r="I66" s="3" t="s">
        <v>31</v>
      </c>
      <c r="J66" s="3" t="s">
        <v>32</v>
      </c>
      <c r="K66" s="3" t="s">
        <v>37</v>
      </c>
      <c r="L66" s="3" t="s">
        <v>761</v>
      </c>
      <c r="M66" s="3" t="s">
        <v>61</v>
      </c>
    </row>
    <row r="67" ht="22.5" customHeight="1">
      <c r="A67" s="3">
        <v>2081035.0</v>
      </c>
      <c r="B67" s="3" t="s">
        <v>762</v>
      </c>
      <c r="C67" s="4">
        <v>5.515996707319E12</v>
      </c>
      <c r="D67" s="3" t="s">
        <v>677</v>
      </c>
      <c r="E67" s="5">
        <v>5540.56</v>
      </c>
      <c r="F67" s="6">
        <v>0.25</v>
      </c>
      <c r="G67" s="7">
        <f t="shared" si="1"/>
        <v>4155.42</v>
      </c>
      <c r="H67" s="3" t="s">
        <v>763</v>
      </c>
      <c r="I67" s="3" t="s">
        <v>31</v>
      </c>
      <c r="J67" s="3" t="s">
        <v>32</v>
      </c>
      <c r="K67" s="3" t="s">
        <v>41</v>
      </c>
      <c r="L67" s="3" t="s">
        <v>31</v>
      </c>
      <c r="M67" s="3" t="s">
        <v>32</v>
      </c>
    </row>
    <row r="68" ht="22.5" customHeight="1">
      <c r="A68" s="3">
        <v>2081032.0</v>
      </c>
      <c r="B68" s="3" t="s">
        <v>764</v>
      </c>
      <c r="C68" s="4">
        <v>5.515996707319E12</v>
      </c>
      <c r="D68" s="3" t="s">
        <v>677</v>
      </c>
      <c r="E68" s="5">
        <v>1361.39</v>
      </c>
      <c r="F68" s="6">
        <v>0.25</v>
      </c>
      <c r="G68" s="7">
        <f t="shared" si="1"/>
        <v>1021.0425</v>
      </c>
      <c r="H68" s="3" t="s">
        <v>37</v>
      </c>
      <c r="I68" s="3" t="s">
        <v>765</v>
      </c>
      <c r="J68" s="3" t="s">
        <v>46</v>
      </c>
    </row>
    <row r="69" ht="22.5" customHeight="1">
      <c r="A69" s="3">
        <v>2080871.0</v>
      </c>
      <c r="B69" s="3" t="s">
        <v>766</v>
      </c>
      <c r="C69" s="4">
        <v>5.511975855143E12</v>
      </c>
      <c r="D69" s="3" t="s">
        <v>677</v>
      </c>
      <c r="E69" s="5">
        <v>2283.22</v>
      </c>
      <c r="F69" s="6">
        <v>0.25</v>
      </c>
      <c r="G69" s="7">
        <f t="shared" si="1"/>
        <v>1712.415</v>
      </c>
      <c r="H69" s="3" t="s">
        <v>130</v>
      </c>
      <c r="I69" s="3" t="s">
        <v>204</v>
      </c>
      <c r="J69" s="3" t="s">
        <v>32</v>
      </c>
      <c r="K69" s="3" t="s">
        <v>222</v>
      </c>
      <c r="L69" s="3" t="s">
        <v>204</v>
      </c>
      <c r="M69" s="3" t="s">
        <v>32</v>
      </c>
      <c r="N69" s="3" t="s">
        <v>37</v>
      </c>
      <c r="O69" s="3" t="s">
        <v>767</v>
      </c>
      <c r="P69" s="3" t="s">
        <v>186</v>
      </c>
    </row>
    <row r="70" ht="22.5" customHeight="1">
      <c r="A70" s="3">
        <v>2080709.0</v>
      </c>
      <c r="B70" s="3" t="s">
        <v>768</v>
      </c>
      <c r="C70" s="4">
        <v>5.515996923434E12</v>
      </c>
      <c r="D70" s="3" t="s">
        <v>677</v>
      </c>
      <c r="E70" s="5">
        <v>3477.51</v>
      </c>
      <c r="F70" s="6">
        <v>0.25</v>
      </c>
      <c r="G70" s="7">
        <f t="shared" si="1"/>
        <v>2608.1325</v>
      </c>
      <c r="H70" s="3" t="s">
        <v>361</v>
      </c>
      <c r="I70" s="3" t="s">
        <v>291</v>
      </c>
      <c r="J70" s="3" t="s">
        <v>32</v>
      </c>
      <c r="K70" s="3" t="s">
        <v>108</v>
      </c>
      <c r="L70" s="3" t="s">
        <v>31</v>
      </c>
      <c r="M70" s="3" t="s">
        <v>56</v>
      </c>
      <c r="N70" s="3" t="s">
        <v>37</v>
      </c>
      <c r="O70" s="3" t="s">
        <v>769</v>
      </c>
      <c r="P70" s="3" t="s">
        <v>770</v>
      </c>
    </row>
    <row r="71" ht="22.5" customHeight="1">
      <c r="A71" s="3">
        <v>2080594.0</v>
      </c>
      <c r="B71" s="3" t="s">
        <v>771</v>
      </c>
      <c r="C71" s="4">
        <v>5.515991596335E12</v>
      </c>
      <c r="D71" s="3" t="s">
        <v>677</v>
      </c>
      <c r="E71" s="5">
        <v>394.79</v>
      </c>
      <c r="F71" s="6">
        <v>0.25</v>
      </c>
      <c r="G71" s="7">
        <f t="shared" si="1"/>
        <v>296.0925</v>
      </c>
      <c r="H71" s="3" t="s">
        <v>150</v>
      </c>
      <c r="I71" s="3" t="s">
        <v>31</v>
      </c>
      <c r="J71" s="3" t="s">
        <v>32</v>
      </c>
      <c r="K71" s="3" t="s">
        <v>59</v>
      </c>
      <c r="L71" s="3" t="s">
        <v>126</v>
      </c>
      <c r="M71" s="3" t="s">
        <v>32</v>
      </c>
    </row>
    <row r="72" ht="22.5" customHeight="1">
      <c r="A72" s="3">
        <v>2080051.0</v>
      </c>
      <c r="B72" s="3" t="s">
        <v>772</v>
      </c>
      <c r="C72" s="4">
        <v>5.515996659901E12</v>
      </c>
      <c r="D72" s="3" t="s">
        <v>68</v>
      </c>
      <c r="E72" s="5">
        <v>111.44</v>
      </c>
      <c r="F72" s="6">
        <v>0.25</v>
      </c>
      <c r="G72" s="7">
        <f t="shared" si="1"/>
        <v>83.58</v>
      </c>
      <c r="H72" s="3" t="s">
        <v>150</v>
      </c>
      <c r="I72" s="3" t="s">
        <v>31</v>
      </c>
      <c r="J72" s="3" t="s">
        <v>32</v>
      </c>
      <c r="K72" s="3" t="s">
        <v>773</v>
      </c>
      <c r="L72" s="3" t="s">
        <v>199</v>
      </c>
      <c r="M72" s="3" t="s">
        <v>32</v>
      </c>
    </row>
    <row r="73" ht="22.5" customHeight="1">
      <c r="A73" s="3">
        <v>2080046.0</v>
      </c>
      <c r="B73" s="3" t="s">
        <v>772</v>
      </c>
      <c r="C73" s="4">
        <v>5.515996659901E12</v>
      </c>
      <c r="D73" s="3" t="s">
        <v>68</v>
      </c>
      <c r="E73" s="5">
        <v>111.44</v>
      </c>
      <c r="F73" s="6">
        <v>0.25</v>
      </c>
      <c r="G73" s="7">
        <f t="shared" si="1"/>
        <v>83.58</v>
      </c>
      <c r="H73" s="3" t="s">
        <v>150</v>
      </c>
      <c r="I73" s="3" t="s">
        <v>31</v>
      </c>
      <c r="J73" s="3" t="s">
        <v>32</v>
      </c>
      <c r="K73" s="3" t="s">
        <v>773</v>
      </c>
      <c r="L73" s="3" t="s">
        <v>199</v>
      </c>
      <c r="M73" s="3" t="s">
        <v>32</v>
      </c>
    </row>
    <row r="74" ht="22.5" customHeight="1">
      <c r="A74" s="3">
        <v>2079639.0</v>
      </c>
      <c r="B74" s="3" t="s">
        <v>774</v>
      </c>
      <c r="C74" s="4">
        <v>5.515997231145E12</v>
      </c>
      <c r="D74" s="3" t="s">
        <v>58</v>
      </c>
      <c r="E74" s="5">
        <v>6185.32</v>
      </c>
      <c r="F74" s="6">
        <v>0.25</v>
      </c>
      <c r="G74" s="7">
        <f t="shared" si="1"/>
        <v>4638.99</v>
      </c>
      <c r="H74" s="3" t="s">
        <v>54</v>
      </c>
      <c r="I74" s="3" t="s">
        <v>775</v>
      </c>
      <c r="J74" s="3" t="s">
        <v>32</v>
      </c>
      <c r="K74" s="3" t="s">
        <v>108</v>
      </c>
      <c r="L74" s="3" t="s">
        <v>31</v>
      </c>
      <c r="M74" s="3" t="s">
        <v>32</v>
      </c>
      <c r="N74" s="3" t="s">
        <v>222</v>
      </c>
      <c r="O74" s="3" t="s">
        <v>776</v>
      </c>
      <c r="P74" s="3" t="s">
        <v>56</v>
      </c>
      <c r="Q74" s="3" t="s">
        <v>37</v>
      </c>
      <c r="R74" s="3" t="s">
        <v>131</v>
      </c>
      <c r="S74" s="3" t="s">
        <v>32</v>
      </c>
      <c r="T74" s="3" t="s">
        <v>41</v>
      </c>
      <c r="U74" s="3" t="s">
        <v>31</v>
      </c>
      <c r="V74" s="3" t="s">
        <v>32</v>
      </c>
    </row>
    <row r="75" ht="22.5" customHeight="1">
      <c r="A75" s="3">
        <v>2079638.0</v>
      </c>
      <c r="B75" s="3" t="s">
        <v>774</v>
      </c>
      <c r="C75" s="4">
        <v>5.515997231145E12</v>
      </c>
      <c r="D75" s="3" t="s">
        <v>58</v>
      </c>
      <c r="E75" s="5">
        <v>430.52</v>
      </c>
      <c r="F75" s="6">
        <v>0.25</v>
      </c>
      <c r="G75" s="7">
        <f t="shared" si="1"/>
        <v>322.89</v>
      </c>
      <c r="H75" s="3" t="s">
        <v>108</v>
      </c>
      <c r="I75" s="3" t="s">
        <v>31</v>
      </c>
      <c r="J75" s="3" t="s">
        <v>32</v>
      </c>
      <c r="K75" s="3" t="s">
        <v>37</v>
      </c>
      <c r="L75" s="3" t="s">
        <v>131</v>
      </c>
      <c r="M75" s="3" t="s">
        <v>32</v>
      </c>
    </row>
    <row r="76" ht="22.5" customHeight="1">
      <c r="A76" s="3">
        <v>2079573.0</v>
      </c>
      <c r="B76" s="3" t="s">
        <v>777</v>
      </c>
      <c r="C76" s="4">
        <v>5.515991388838E12</v>
      </c>
      <c r="D76" s="3" t="s">
        <v>360</v>
      </c>
      <c r="E76" s="5">
        <v>4322.0</v>
      </c>
      <c r="F76" s="6">
        <v>0.25</v>
      </c>
      <c r="G76" s="7">
        <f t="shared" si="1"/>
        <v>3241.5</v>
      </c>
      <c r="H76" s="3" t="s">
        <v>82</v>
      </c>
      <c r="I76" s="3" t="s">
        <v>135</v>
      </c>
      <c r="J76" s="3" t="s">
        <v>56</v>
      </c>
      <c r="K76" s="3" t="s">
        <v>54</v>
      </c>
      <c r="L76" s="3" t="s">
        <v>778</v>
      </c>
      <c r="M76" s="3" t="s">
        <v>32</v>
      </c>
      <c r="N76" s="3" t="s">
        <v>36</v>
      </c>
      <c r="O76" s="3" t="s">
        <v>31</v>
      </c>
      <c r="P76" s="3" t="s">
        <v>32</v>
      </c>
      <c r="Q76" s="3" t="s">
        <v>41</v>
      </c>
      <c r="R76" s="3" t="s">
        <v>31</v>
      </c>
      <c r="S76" s="3" t="s">
        <v>32</v>
      </c>
    </row>
    <row r="77" ht="22.5" customHeight="1">
      <c r="A77" s="3">
        <v>2079454.0</v>
      </c>
      <c r="B77" s="3" t="s">
        <v>779</v>
      </c>
      <c r="C77" s="4">
        <v>5.515991807122E12</v>
      </c>
      <c r="D77" s="3" t="s">
        <v>360</v>
      </c>
      <c r="E77" s="5">
        <v>994.5</v>
      </c>
      <c r="F77" s="6">
        <v>0.25</v>
      </c>
      <c r="G77" s="7">
        <f t="shared" si="1"/>
        <v>745.875</v>
      </c>
      <c r="H77" s="3" t="s">
        <v>206</v>
      </c>
      <c r="I77" s="3" t="s">
        <v>31</v>
      </c>
      <c r="J77" s="3" t="s">
        <v>32</v>
      </c>
      <c r="K77" s="3" t="s">
        <v>37</v>
      </c>
      <c r="L77" s="3" t="s">
        <v>780</v>
      </c>
      <c r="M77" s="3" t="s">
        <v>56</v>
      </c>
    </row>
    <row r="78" ht="22.5" customHeight="1">
      <c r="A78" s="3">
        <v>2079446.0</v>
      </c>
      <c r="B78" s="3" t="s">
        <v>781</v>
      </c>
      <c r="C78" s="4">
        <v>5.515991146009E12</v>
      </c>
      <c r="D78" s="3" t="s">
        <v>360</v>
      </c>
      <c r="E78" s="5">
        <v>638.95</v>
      </c>
      <c r="F78" s="6">
        <v>0.25</v>
      </c>
      <c r="G78" s="7">
        <f t="shared" si="1"/>
        <v>479.2125</v>
      </c>
      <c r="H78" s="3" t="s">
        <v>206</v>
      </c>
      <c r="I78" s="3" t="s">
        <v>31</v>
      </c>
      <c r="J78" s="3" t="s">
        <v>32</v>
      </c>
    </row>
    <row r="79" ht="22.5" customHeight="1">
      <c r="A79" s="3">
        <v>2079319.0</v>
      </c>
      <c r="B79" s="3" t="s">
        <v>782</v>
      </c>
      <c r="C79" s="4">
        <v>5.515996287244E12</v>
      </c>
      <c r="D79" s="3" t="s">
        <v>58</v>
      </c>
      <c r="E79" s="5">
        <v>559.56</v>
      </c>
      <c r="F79" s="6">
        <v>0.25</v>
      </c>
      <c r="G79" s="7">
        <f t="shared" si="1"/>
        <v>419.67</v>
      </c>
      <c r="H79" s="3" t="s">
        <v>783</v>
      </c>
      <c r="I79" s="3" t="s">
        <v>784</v>
      </c>
      <c r="J79" s="3" t="s">
        <v>32</v>
      </c>
    </row>
    <row r="80" ht="22.5" customHeight="1">
      <c r="A80" s="3">
        <v>2078979.0</v>
      </c>
      <c r="B80" s="3" t="s">
        <v>785</v>
      </c>
      <c r="C80" s="4">
        <v>5.515998514617E12</v>
      </c>
      <c r="D80" s="3" t="s">
        <v>296</v>
      </c>
      <c r="E80" s="5">
        <v>3650.0</v>
      </c>
      <c r="F80" s="6">
        <v>0.25</v>
      </c>
      <c r="G80" s="7">
        <f t="shared" si="1"/>
        <v>2737.5</v>
      </c>
      <c r="H80" s="3" t="s">
        <v>41</v>
      </c>
      <c r="I80" s="3" t="s">
        <v>31</v>
      </c>
      <c r="J80" s="3" t="s">
        <v>32</v>
      </c>
    </row>
    <row r="81" ht="22.5" customHeight="1">
      <c r="A81" s="3">
        <v>2077837.0</v>
      </c>
      <c r="B81" s="3" t="s">
        <v>786</v>
      </c>
      <c r="C81" s="4">
        <v>5.515997976574E12</v>
      </c>
      <c r="D81" s="3" t="s">
        <v>173</v>
      </c>
      <c r="E81" s="5">
        <v>1417.2</v>
      </c>
      <c r="F81" s="6">
        <v>0.25</v>
      </c>
      <c r="G81" s="7">
        <f t="shared" si="1"/>
        <v>1062.9</v>
      </c>
      <c r="H81" s="3" t="s">
        <v>174</v>
      </c>
      <c r="I81" s="3" t="s">
        <v>163</v>
      </c>
      <c r="J81" s="3" t="s">
        <v>56</v>
      </c>
      <c r="K81" s="3" t="s">
        <v>108</v>
      </c>
      <c r="L81" s="3" t="s">
        <v>31</v>
      </c>
      <c r="M81" s="3" t="s">
        <v>32</v>
      </c>
      <c r="N81" s="3" t="s">
        <v>37</v>
      </c>
      <c r="O81" s="3" t="s">
        <v>225</v>
      </c>
      <c r="P81" s="3" t="s">
        <v>32</v>
      </c>
    </row>
    <row r="82" ht="22.5" customHeight="1">
      <c r="A82" s="3">
        <v>2076004.0</v>
      </c>
      <c r="B82" s="3" t="s">
        <v>709</v>
      </c>
      <c r="C82" s="4">
        <v>5.515997181371E12</v>
      </c>
      <c r="D82" s="3" t="s">
        <v>68</v>
      </c>
      <c r="E82" s="5">
        <v>4868.0</v>
      </c>
      <c r="F82" s="6">
        <v>0.25</v>
      </c>
      <c r="G82" s="7">
        <f t="shared" si="1"/>
        <v>3651</v>
      </c>
      <c r="H82" s="3" t="s">
        <v>130</v>
      </c>
      <c r="I82" s="3" t="s">
        <v>74</v>
      </c>
      <c r="J82" s="3" t="s">
        <v>32</v>
      </c>
      <c r="K82" s="3" t="s">
        <v>33</v>
      </c>
      <c r="L82" s="3" t="s">
        <v>225</v>
      </c>
      <c r="M82" s="3" t="s">
        <v>32</v>
      </c>
      <c r="N82" s="3" t="s">
        <v>35</v>
      </c>
      <c r="O82" s="3" t="s">
        <v>225</v>
      </c>
      <c r="P82" s="3" t="s">
        <v>32</v>
      </c>
      <c r="Q82" s="3" t="s">
        <v>133</v>
      </c>
      <c r="R82" s="3" t="s">
        <v>74</v>
      </c>
      <c r="S82" s="3" t="s">
        <v>32</v>
      </c>
      <c r="T82" s="3" t="s">
        <v>37</v>
      </c>
      <c r="U82" s="3" t="s">
        <v>199</v>
      </c>
      <c r="V82" s="3" t="s">
        <v>32</v>
      </c>
    </row>
    <row r="83" ht="22.5" customHeight="1">
      <c r="A83" s="3">
        <v>2076000.0</v>
      </c>
      <c r="B83" s="3" t="s">
        <v>709</v>
      </c>
      <c r="C83" s="4">
        <v>5.515997181371E12</v>
      </c>
      <c r="D83" s="3" t="s">
        <v>68</v>
      </c>
      <c r="E83" s="5">
        <v>6116.75</v>
      </c>
      <c r="F83" s="6">
        <v>0.25</v>
      </c>
      <c r="G83" s="7">
        <f t="shared" si="1"/>
        <v>4587.5625</v>
      </c>
      <c r="H83" s="3" t="s">
        <v>33</v>
      </c>
      <c r="I83" s="3" t="s">
        <v>710</v>
      </c>
      <c r="J83" s="3" t="s">
        <v>56</v>
      </c>
      <c r="K83" s="3" t="s">
        <v>35</v>
      </c>
      <c r="L83" s="3" t="s">
        <v>710</v>
      </c>
      <c r="M83" s="3" t="s">
        <v>56</v>
      </c>
      <c r="N83" s="3" t="s">
        <v>37</v>
      </c>
      <c r="O83" s="3" t="s">
        <v>199</v>
      </c>
      <c r="P83" s="3" t="s">
        <v>32</v>
      </c>
    </row>
    <row r="84" ht="22.5" customHeight="1">
      <c r="A84" s="3">
        <v>2075949.0</v>
      </c>
      <c r="B84" s="3" t="s">
        <v>712</v>
      </c>
      <c r="C84" s="4">
        <v>5.511961397897E12</v>
      </c>
      <c r="D84" s="3" t="s">
        <v>689</v>
      </c>
      <c r="E84" s="5">
        <v>323.28</v>
      </c>
      <c r="F84" s="6">
        <v>0.25</v>
      </c>
      <c r="G84" s="7">
        <f t="shared" si="1"/>
        <v>242.46</v>
      </c>
      <c r="H84" s="3" t="s">
        <v>150</v>
      </c>
      <c r="I84" s="3" t="s">
        <v>31</v>
      </c>
      <c r="J84" s="3" t="s">
        <v>32</v>
      </c>
      <c r="K84" s="3" t="s">
        <v>37</v>
      </c>
      <c r="L84" s="3" t="s">
        <v>713</v>
      </c>
      <c r="M84" s="3" t="s">
        <v>56</v>
      </c>
    </row>
    <row r="85" ht="22.5" customHeight="1">
      <c r="A85" s="3">
        <v>2075364.0</v>
      </c>
      <c r="B85" s="3" t="s">
        <v>787</v>
      </c>
      <c r="C85" s="4">
        <v>5.515998220987E12</v>
      </c>
      <c r="D85" s="3" t="s">
        <v>360</v>
      </c>
      <c r="E85" s="5">
        <v>1153.63</v>
      </c>
      <c r="F85" s="6">
        <v>0.25</v>
      </c>
      <c r="G85" s="7">
        <f t="shared" si="1"/>
        <v>865.2225</v>
      </c>
      <c r="H85" s="3" t="s">
        <v>361</v>
      </c>
      <c r="I85" s="3" t="s">
        <v>38</v>
      </c>
      <c r="J85" s="3" t="s">
        <v>32</v>
      </c>
      <c r="K85" s="3" t="s">
        <v>36</v>
      </c>
      <c r="L85" s="3" t="s">
        <v>31</v>
      </c>
      <c r="M85" s="3" t="s">
        <v>32</v>
      </c>
    </row>
    <row r="86" ht="22.5" customHeight="1">
      <c r="A86" s="3">
        <v>2075071.0</v>
      </c>
      <c r="B86" s="3" t="s">
        <v>788</v>
      </c>
      <c r="C86" s="4">
        <v>5.515997954304E12</v>
      </c>
      <c r="D86" s="3" t="s">
        <v>360</v>
      </c>
      <c r="E86" s="5">
        <v>515.33</v>
      </c>
      <c r="F86" s="6">
        <v>0.25</v>
      </c>
      <c r="G86" s="7">
        <f t="shared" si="1"/>
        <v>386.4975</v>
      </c>
      <c r="H86" s="3" t="s">
        <v>789</v>
      </c>
      <c r="I86" s="3" t="s">
        <v>790</v>
      </c>
      <c r="J86" s="3" t="s">
        <v>32</v>
      </c>
    </row>
    <row r="87" ht="22.5" customHeight="1">
      <c r="A87" s="3">
        <v>2074724.0</v>
      </c>
      <c r="B87" s="3" t="s">
        <v>791</v>
      </c>
      <c r="C87" s="4">
        <v>5.515996007315E12</v>
      </c>
      <c r="D87" s="3" t="s">
        <v>360</v>
      </c>
      <c r="E87" s="5">
        <v>802.1</v>
      </c>
      <c r="F87" s="6">
        <v>0.25</v>
      </c>
      <c r="G87" s="7">
        <f t="shared" si="1"/>
        <v>601.575</v>
      </c>
      <c r="H87" s="3" t="s">
        <v>739</v>
      </c>
      <c r="I87" s="3" t="s">
        <v>50</v>
      </c>
      <c r="J87" s="3" t="s">
        <v>32</v>
      </c>
      <c r="K87" s="3" t="s">
        <v>150</v>
      </c>
      <c r="L87" s="3" t="s">
        <v>31</v>
      </c>
      <c r="M87" s="3" t="s">
        <v>32</v>
      </c>
      <c r="N87" s="3" t="s">
        <v>206</v>
      </c>
      <c r="O87" s="3" t="s">
        <v>31</v>
      </c>
      <c r="P87" s="3" t="s">
        <v>32</v>
      </c>
    </row>
    <row r="88" ht="22.5" customHeight="1">
      <c r="A88" s="3">
        <v>2074647.0</v>
      </c>
      <c r="B88" s="3" t="s">
        <v>613</v>
      </c>
      <c r="C88" s="4">
        <v>5.51599803828E12</v>
      </c>
      <c r="D88" s="3" t="s">
        <v>360</v>
      </c>
      <c r="E88" s="5">
        <v>2343.84</v>
      </c>
      <c r="F88" s="6">
        <v>0.25</v>
      </c>
      <c r="G88" s="7">
        <f t="shared" si="1"/>
        <v>1757.88</v>
      </c>
    </row>
    <row r="89" ht="22.5" customHeight="1">
      <c r="A89" s="3">
        <v>2074602.0</v>
      </c>
      <c r="B89" s="3" t="s">
        <v>792</v>
      </c>
      <c r="C89" s="4">
        <v>5.515996935001E12</v>
      </c>
      <c r="D89" s="3" t="s">
        <v>677</v>
      </c>
      <c r="E89" s="5">
        <v>1148.2</v>
      </c>
      <c r="F89" s="6">
        <v>0.25</v>
      </c>
      <c r="G89" s="7">
        <f t="shared" si="1"/>
        <v>861.15</v>
      </c>
      <c r="H89" s="3" t="s">
        <v>108</v>
      </c>
      <c r="I89" s="3" t="s">
        <v>31</v>
      </c>
      <c r="J89" s="3" t="s">
        <v>32</v>
      </c>
      <c r="K89" s="3" t="s">
        <v>37</v>
      </c>
      <c r="L89" s="3" t="s">
        <v>793</v>
      </c>
      <c r="M89" s="3" t="s">
        <v>170</v>
      </c>
    </row>
    <row r="90" ht="22.5" customHeight="1">
      <c r="A90" s="3">
        <v>2074327.0</v>
      </c>
      <c r="B90" s="3" t="s">
        <v>794</v>
      </c>
      <c r="C90" s="4">
        <v>5.515996548546E12</v>
      </c>
      <c r="D90" s="3" t="s">
        <v>89</v>
      </c>
      <c r="E90" s="5">
        <v>1929.5</v>
      </c>
      <c r="F90" s="6">
        <v>0.25</v>
      </c>
      <c r="G90" s="7">
        <f t="shared" si="1"/>
        <v>1447.125</v>
      </c>
      <c r="H90" s="3" t="s">
        <v>108</v>
      </c>
      <c r="I90" s="3" t="s">
        <v>31</v>
      </c>
      <c r="J90" s="3" t="s">
        <v>32</v>
      </c>
      <c r="K90" s="3" t="s">
        <v>123</v>
      </c>
      <c r="L90" s="3" t="s">
        <v>44</v>
      </c>
      <c r="M90" s="3" t="s">
        <v>32</v>
      </c>
      <c r="N90" s="3" t="s">
        <v>37</v>
      </c>
      <c r="O90" s="3" t="s">
        <v>795</v>
      </c>
      <c r="P90" s="3" t="s">
        <v>70</v>
      </c>
    </row>
    <row r="91" ht="22.5" customHeight="1">
      <c r="A91" s="3">
        <v>2074292.0</v>
      </c>
      <c r="B91" s="3" t="s">
        <v>796</v>
      </c>
      <c r="C91" s="4">
        <v>5.518998193717E12</v>
      </c>
      <c r="D91" s="3" t="s">
        <v>677</v>
      </c>
      <c r="E91" s="5">
        <v>159.61</v>
      </c>
      <c r="F91" s="6">
        <v>0.25</v>
      </c>
      <c r="G91" s="7">
        <f t="shared" si="1"/>
        <v>119.7075</v>
      </c>
      <c r="H91" s="3" t="s">
        <v>150</v>
      </c>
      <c r="I91" s="3" t="s">
        <v>31</v>
      </c>
      <c r="J91" s="3" t="s">
        <v>32</v>
      </c>
      <c r="K91" s="3" t="s">
        <v>37</v>
      </c>
      <c r="L91" s="3" t="s">
        <v>104</v>
      </c>
      <c r="M91" s="3" t="s">
        <v>32</v>
      </c>
    </row>
    <row r="92" ht="22.5" customHeight="1">
      <c r="A92" s="3">
        <v>2073904.0</v>
      </c>
      <c r="B92" s="3" t="s">
        <v>797</v>
      </c>
      <c r="C92" s="4">
        <v>5.51598142068E12</v>
      </c>
      <c r="D92" s="3" t="s">
        <v>89</v>
      </c>
      <c r="E92" s="5">
        <v>3389.51</v>
      </c>
      <c r="F92" s="6">
        <v>0.25</v>
      </c>
      <c r="G92" s="7">
        <f t="shared" si="1"/>
        <v>2542.1325</v>
      </c>
      <c r="H92" s="3" t="s">
        <v>150</v>
      </c>
      <c r="I92" s="3" t="s">
        <v>31</v>
      </c>
      <c r="J92" s="3" t="s">
        <v>32</v>
      </c>
      <c r="K92" s="3" t="s">
        <v>130</v>
      </c>
      <c r="L92" s="3" t="s">
        <v>234</v>
      </c>
      <c r="M92" s="3" t="s">
        <v>32</v>
      </c>
      <c r="N92" s="3" t="s">
        <v>798</v>
      </c>
      <c r="O92" s="3" t="s">
        <v>234</v>
      </c>
      <c r="P92" s="3" t="s">
        <v>32</v>
      </c>
      <c r="Q92" s="3" t="s">
        <v>35</v>
      </c>
      <c r="R92" s="3" t="s">
        <v>234</v>
      </c>
      <c r="S92" s="3" t="s">
        <v>32</v>
      </c>
    </row>
    <row r="93" ht="22.5" customHeight="1">
      <c r="A93" s="3">
        <v>2073584.0</v>
      </c>
      <c r="B93" s="3" t="s">
        <v>799</v>
      </c>
      <c r="C93" s="4">
        <v>5.51598803733E12</v>
      </c>
      <c r="D93" s="3" t="s">
        <v>702</v>
      </c>
      <c r="E93" s="5">
        <v>4800.3</v>
      </c>
      <c r="F93" s="6">
        <v>0.25</v>
      </c>
      <c r="G93" s="7">
        <f t="shared" si="1"/>
        <v>3600.225</v>
      </c>
      <c r="H93" s="3" t="s">
        <v>150</v>
      </c>
      <c r="I93" s="3" t="s">
        <v>31</v>
      </c>
      <c r="J93" s="3" t="s">
        <v>32</v>
      </c>
      <c r="K93" s="3" t="s">
        <v>83</v>
      </c>
      <c r="L93" s="3" t="s">
        <v>542</v>
      </c>
      <c r="M93" s="3" t="s">
        <v>56</v>
      </c>
      <c r="N93" s="3" t="s">
        <v>85</v>
      </c>
      <c r="O93" s="3" t="s">
        <v>542</v>
      </c>
      <c r="P93" s="3" t="s">
        <v>56</v>
      </c>
      <c r="Q93" s="3" t="s">
        <v>36</v>
      </c>
      <c r="R93" s="3" t="s">
        <v>31</v>
      </c>
      <c r="S93" s="3" t="s">
        <v>32</v>
      </c>
      <c r="T93" s="3" t="s">
        <v>37</v>
      </c>
      <c r="U93" s="3" t="s">
        <v>800</v>
      </c>
      <c r="V93" s="3" t="s">
        <v>70</v>
      </c>
      <c r="W93" s="3" t="s">
        <v>171</v>
      </c>
      <c r="X93" s="3" t="s">
        <v>614</v>
      </c>
      <c r="Y93" s="3" t="s">
        <v>32</v>
      </c>
    </row>
    <row r="94" ht="22.5" customHeight="1">
      <c r="A94" s="3">
        <v>2072141.0</v>
      </c>
      <c r="B94" s="3" t="s">
        <v>801</v>
      </c>
      <c r="C94" s="4">
        <v>5.515981089398E12</v>
      </c>
      <c r="D94" s="3" t="s">
        <v>58</v>
      </c>
      <c r="E94" s="5">
        <v>5174.44</v>
      </c>
      <c r="F94" s="6">
        <v>0.25</v>
      </c>
      <c r="G94" s="7">
        <f t="shared" si="1"/>
        <v>3880.83</v>
      </c>
      <c r="H94" s="3" t="s">
        <v>150</v>
      </c>
      <c r="I94" s="3" t="s">
        <v>31</v>
      </c>
      <c r="J94" s="3" t="s">
        <v>32</v>
      </c>
      <c r="K94" s="3" t="s">
        <v>108</v>
      </c>
      <c r="L94" s="3" t="s">
        <v>31</v>
      </c>
      <c r="M94" s="3" t="s">
        <v>32</v>
      </c>
      <c r="N94" s="3" t="s">
        <v>36</v>
      </c>
      <c r="O94" s="3" t="s">
        <v>31</v>
      </c>
      <c r="P94" s="3" t="s">
        <v>32</v>
      </c>
      <c r="Q94" s="3" t="s">
        <v>41</v>
      </c>
      <c r="R94" s="3" t="s">
        <v>31</v>
      </c>
      <c r="S94" s="3" t="s">
        <v>32</v>
      </c>
    </row>
    <row r="95" ht="22.5" customHeight="1">
      <c r="A95" s="3">
        <v>2071288.0</v>
      </c>
      <c r="B95" s="3" t="s">
        <v>802</v>
      </c>
      <c r="C95" s="4">
        <v>5.515997195897E12</v>
      </c>
      <c r="D95" s="3" t="s">
        <v>68</v>
      </c>
      <c r="E95" s="5">
        <v>1080.0</v>
      </c>
      <c r="F95" s="6">
        <v>0.25</v>
      </c>
      <c r="G95" s="7">
        <f t="shared" si="1"/>
        <v>810</v>
      </c>
      <c r="H95" s="3" t="s">
        <v>150</v>
      </c>
      <c r="I95" s="3" t="s">
        <v>31</v>
      </c>
      <c r="J95" s="3" t="s">
        <v>32</v>
      </c>
      <c r="K95" s="3" t="s">
        <v>218</v>
      </c>
      <c r="L95" s="3" t="s">
        <v>50</v>
      </c>
      <c r="M95" s="3" t="s">
        <v>32</v>
      </c>
      <c r="N95" s="3" t="s">
        <v>37</v>
      </c>
      <c r="O95" s="3" t="s">
        <v>803</v>
      </c>
      <c r="P95" s="3" t="s">
        <v>61</v>
      </c>
    </row>
    <row r="96" ht="22.5" customHeight="1">
      <c r="A96" s="3">
        <v>2070824.0</v>
      </c>
      <c r="B96" s="3" t="s">
        <v>804</v>
      </c>
      <c r="C96" s="4">
        <v>5.515991425441E12</v>
      </c>
      <c r="D96" s="3" t="s">
        <v>296</v>
      </c>
      <c r="E96" s="5">
        <v>8910.6</v>
      </c>
      <c r="F96" s="6">
        <v>0.25</v>
      </c>
      <c r="G96" s="7">
        <f t="shared" si="1"/>
        <v>6682.95</v>
      </c>
      <c r="H96" s="3" t="s">
        <v>150</v>
      </c>
      <c r="I96" s="3" t="s">
        <v>31</v>
      </c>
      <c r="J96" s="3" t="s">
        <v>32</v>
      </c>
      <c r="K96" s="3" t="s">
        <v>805</v>
      </c>
      <c r="L96" s="3" t="s">
        <v>31</v>
      </c>
      <c r="M96" s="3" t="s">
        <v>32</v>
      </c>
      <c r="N96" s="3" t="s">
        <v>301</v>
      </c>
      <c r="O96" s="3" t="s">
        <v>31</v>
      </c>
      <c r="P96" s="3" t="s">
        <v>32</v>
      </c>
    </row>
    <row r="97" ht="22.5" customHeight="1">
      <c r="A97" s="3">
        <v>2069609.0</v>
      </c>
      <c r="B97" s="3" t="s">
        <v>806</v>
      </c>
      <c r="C97" s="4">
        <v>5.515997386572E12</v>
      </c>
      <c r="D97" s="3" t="s">
        <v>89</v>
      </c>
      <c r="E97" s="5">
        <v>1650.8</v>
      </c>
      <c r="F97" s="6">
        <v>0.25</v>
      </c>
      <c r="G97" s="7">
        <f t="shared" si="1"/>
        <v>1238.1</v>
      </c>
      <c r="H97" s="3" t="s">
        <v>150</v>
      </c>
      <c r="I97" s="3" t="s">
        <v>31</v>
      </c>
      <c r="J97" s="3" t="s">
        <v>32</v>
      </c>
      <c r="K97" s="3" t="s">
        <v>108</v>
      </c>
      <c r="L97" s="3" t="s">
        <v>31</v>
      </c>
      <c r="M97" s="3" t="s">
        <v>56</v>
      </c>
      <c r="N97" s="3" t="s">
        <v>36</v>
      </c>
      <c r="O97" s="3" t="s">
        <v>31</v>
      </c>
      <c r="P97" s="3" t="s">
        <v>32</v>
      </c>
      <c r="Q97" s="3" t="s">
        <v>37</v>
      </c>
      <c r="R97" s="3" t="s">
        <v>807</v>
      </c>
      <c r="S97" s="3" t="s">
        <v>197</v>
      </c>
    </row>
    <row r="98" ht="22.5" customHeight="1">
      <c r="A98" s="29"/>
      <c r="B98" s="29"/>
      <c r="C98" s="30"/>
      <c r="D98" s="16" t="s">
        <v>238</v>
      </c>
      <c r="E98" s="17">
        <f>SUM(E2:E97)</f>
        <v>261974.89</v>
      </c>
      <c r="F98" s="18" t="s">
        <v>239</v>
      </c>
      <c r="G98" s="19">
        <f>SUM(G2:G97)</f>
        <v>196481.1675</v>
      </c>
      <c r="H98" s="29"/>
      <c r="I98" s="29"/>
      <c r="J98" s="29"/>
      <c r="K98" s="29"/>
      <c r="L98" s="29"/>
      <c r="M98" s="29"/>
      <c r="N98" s="29"/>
      <c r="O98" s="29"/>
      <c r="P98" s="29"/>
      <c r="Q98" s="29"/>
      <c r="R98" s="29"/>
      <c r="S98" s="29"/>
      <c r="T98" s="29"/>
      <c r="U98" s="29"/>
      <c r="V98" s="29"/>
      <c r="W98" s="29"/>
      <c r="X98" s="29"/>
      <c r="Y98" s="29"/>
      <c r="Z98" s="29"/>
    </row>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custom" allowBlank="1" showDropDown="1" sqref="E2:G98">
      <formula1>AND(ISNUMBER(E2),(NOT(OR(NOT(ISERROR(DATEVALUE(E2))), AND(ISNUMBER(E2), LEFT(CELL("format", E2))="D")))))</formula1>
    </dataValidation>
  </dataValidations>
  <printOptions/>
  <pageMargins bottom="1.0" footer="0.0" header="0.0" left="0.75" right="0.75" top="1.0"/>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6.57"/>
    <col customWidth="1" min="2" max="2" width="41.14"/>
    <col customWidth="1" min="3" max="3" width="17.86"/>
    <col customWidth="1" min="4" max="4" width="35.29"/>
    <col customWidth="1" min="5" max="5" width="20.57"/>
    <col customWidth="1" min="6" max="6" width="15.0"/>
    <col customWidth="1" min="7" max="7" width="15.71"/>
    <col customWidth="1" min="8" max="8" width="43.0"/>
    <col customWidth="1" min="9" max="9" width="39.57"/>
    <col customWidth="1" min="10" max="10" width="19.71"/>
    <col customWidth="1" min="11" max="12" width="43.0"/>
    <col customWidth="1" min="13" max="13" width="19.71"/>
    <col customWidth="1" min="14" max="14" width="43.0"/>
    <col customWidth="1" min="15" max="15" width="22.71"/>
    <col customWidth="1" min="16" max="16" width="19.71"/>
    <col customWidth="1" min="17" max="17" width="43.0"/>
    <col customWidth="1" min="18" max="18" width="22.71"/>
    <col customWidth="1" min="19" max="19" width="19.71"/>
    <col customWidth="1" min="20" max="21" width="43.0"/>
    <col customWidth="1" min="22" max="22" width="19.71"/>
    <col customWidth="1" min="23" max="23" width="31.0"/>
    <col customWidth="1" min="24" max="24" width="22.71"/>
    <col customWidth="1" min="25" max="25" width="19.71"/>
    <col customWidth="1" min="26" max="26" width="19.57"/>
    <col customWidth="1" min="27" max="27" width="22.71"/>
    <col customWidth="1" min="28" max="28" width="19.71"/>
    <col customWidth="1" min="29" max="29" width="27.0"/>
    <col customWidth="1" min="30" max="30" width="43.0"/>
    <col customWidth="1" min="31" max="31" width="19.71"/>
  </cols>
  <sheetData>
    <row r="1" ht="22.5" customHeight="1">
      <c r="A1" s="32" t="s">
        <v>0</v>
      </c>
      <c r="B1" s="32" t="s">
        <v>1</v>
      </c>
      <c r="C1" s="32" t="s">
        <v>2</v>
      </c>
      <c r="D1" s="32" t="s">
        <v>3</v>
      </c>
      <c r="E1" s="32" t="s">
        <v>4</v>
      </c>
      <c r="F1" s="32" t="s">
        <v>5</v>
      </c>
      <c r="G1" s="32" t="s">
        <v>6</v>
      </c>
      <c r="H1" s="32" t="s">
        <v>7</v>
      </c>
      <c r="I1" s="32" t="s">
        <v>8</v>
      </c>
      <c r="J1" s="32" t="s">
        <v>9</v>
      </c>
      <c r="K1" s="32" t="s">
        <v>10</v>
      </c>
      <c r="L1" s="32" t="s">
        <v>11</v>
      </c>
      <c r="M1" s="32" t="s">
        <v>12</v>
      </c>
      <c r="N1" s="32" t="s">
        <v>13</v>
      </c>
      <c r="O1" s="32" t="s">
        <v>14</v>
      </c>
      <c r="P1" s="32" t="s">
        <v>15</v>
      </c>
      <c r="Q1" s="32" t="s">
        <v>16</v>
      </c>
      <c r="R1" s="32" t="s">
        <v>17</v>
      </c>
      <c r="S1" s="32" t="s">
        <v>18</v>
      </c>
      <c r="T1" s="32" t="s">
        <v>19</v>
      </c>
      <c r="U1" s="32" t="s">
        <v>20</v>
      </c>
      <c r="V1" s="32" t="s">
        <v>21</v>
      </c>
      <c r="W1" s="32" t="s">
        <v>22</v>
      </c>
      <c r="X1" s="32" t="s">
        <v>23</v>
      </c>
      <c r="Y1" s="32" t="s">
        <v>24</v>
      </c>
      <c r="Z1" s="32" t="s">
        <v>25</v>
      </c>
      <c r="AA1" s="32" t="s">
        <v>26</v>
      </c>
      <c r="AB1" s="32" t="s">
        <v>27</v>
      </c>
      <c r="AC1" s="32" t="s">
        <v>340</v>
      </c>
      <c r="AD1" s="32" t="s">
        <v>341</v>
      </c>
      <c r="AE1" s="32" t="s">
        <v>342</v>
      </c>
    </row>
    <row r="2" ht="22.5" customHeight="1">
      <c r="A2" s="33">
        <v>2107371.0</v>
      </c>
      <c r="B2" s="34" t="s">
        <v>808</v>
      </c>
      <c r="C2" s="35">
        <v>5.515981875588E12</v>
      </c>
      <c r="D2" s="34" t="s">
        <v>58</v>
      </c>
      <c r="E2" s="36">
        <v>670.06</v>
      </c>
      <c r="F2" s="34"/>
      <c r="G2" s="34"/>
      <c r="H2" s="34" t="s">
        <v>37</v>
      </c>
      <c r="I2" s="34" t="s">
        <v>809</v>
      </c>
      <c r="J2" s="34" t="s">
        <v>70</v>
      </c>
      <c r="K2" s="34"/>
      <c r="L2" s="34"/>
      <c r="M2" s="34"/>
      <c r="N2" s="34"/>
      <c r="O2" s="34"/>
      <c r="P2" s="34"/>
      <c r="Q2" s="34"/>
      <c r="R2" s="34"/>
      <c r="S2" s="34"/>
      <c r="T2" s="34"/>
      <c r="U2" s="34"/>
      <c r="V2" s="34"/>
      <c r="W2" s="34"/>
      <c r="X2" s="34"/>
      <c r="Y2" s="34"/>
      <c r="Z2" s="34"/>
      <c r="AA2" s="34"/>
      <c r="AB2" s="34"/>
      <c r="AC2" s="34"/>
      <c r="AD2" s="34"/>
      <c r="AE2" s="34"/>
    </row>
    <row r="3" ht="22.5" customHeight="1">
      <c r="A3" s="33">
        <v>2106540.0</v>
      </c>
      <c r="B3" s="34" t="s">
        <v>810</v>
      </c>
      <c r="C3" s="35">
        <v>5.515991495591E12</v>
      </c>
      <c r="D3" s="34" t="s">
        <v>68</v>
      </c>
      <c r="E3" s="36">
        <v>6535.54</v>
      </c>
      <c r="F3" s="34"/>
      <c r="G3" s="34"/>
      <c r="H3" s="34" t="s">
        <v>99</v>
      </c>
      <c r="I3" s="34" t="s">
        <v>31</v>
      </c>
      <c r="J3" s="34" t="s">
        <v>32</v>
      </c>
      <c r="K3" s="34"/>
      <c r="L3" s="34"/>
      <c r="M3" s="34"/>
      <c r="N3" s="34"/>
      <c r="O3" s="34"/>
      <c r="P3" s="34"/>
      <c r="Q3" s="34"/>
      <c r="R3" s="34"/>
      <c r="S3" s="34"/>
      <c r="T3" s="34"/>
      <c r="U3" s="34"/>
      <c r="V3" s="34"/>
      <c r="W3" s="34"/>
      <c r="X3" s="34"/>
      <c r="Y3" s="34"/>
      <c r="Z3" s="34"/>
      <c r="AA3" s="34"/>
      <c r="AB3" s="34"/>
      <c r="AC3" s="34"/>
      <c r="AD3" s="34"/>
      <c r="AE3" s="34"/>
    </row>
    <row r="4" ht="22.5" customHeight="1">
      <c r="A4" s="33">
        <v>2106527.0</v>
      </c>
      <c r="B4" s="34" t="s">
        <v>810</v>
      </c>
      <c r="C4" s="35">
        <v>5.515991495591E12</v>
      </c>
      <c r="D4" s="34" t="s">
        <v>68</v>
      </c>
      <c r="E4" s="36">
        <v>2800.22</v>
      </c>
      <c r="F4" s="34"/>
      <c r="G4" s="34"/>
      <c r="H4" s="34" t="s">
        <v>128</v>
      </c>
      <c r="I4" s="34" t="s">
        <v>31</v>
      </c>
      <c r="J4" s="34" t="s">
        <v>32</v>
      </c>
      <c r="K4" s="34"/>
      <c r="L4" s="34"/>
      <c r="M4" s="34"/>
      <c r="N4" s="34"/>
      <c r="O4" s="34"/>
      <c r="P4" s="34"/>
      <c r="Q4" s="34"/>
      <c r="R4" s="34"/>
      <c r="S4" s="34"/>
      <c r="T4" s="34"/>
      <c r="U4" s="34"/>
      <c r="V4" s="34"/>
      <c r="W4" s="34"/>
      <c r="X4" s="34"/>
      <c r="Y4" s="34"/>
      <c r="Z4" s="34"/>
      <c r="AA4" s="34"/>
      <c r="AB4" s="34"/>
      <c r="AC4" s="34"/>
      <c r="AD4" s="34"/>
      <c r="AE4" s="34"/>
    </row>
    <row r="5" ht="22.5" customHeight="1">
      <c r="A5" s="33">
        <v>2105962.0</v>
      </c>
      <c r="B5" s="34" t="s">
        <v>811</v>
      </c>
      <c r="C5" s="35">
        <v>5.5159911663E12</v>
      </c>
      <c r="D5" s="34" t="s">
        <v>68</v>
      </c>
      <c r="E5" s="36">
        <v>1486.63</v>
      </c>
      <c r="F5" s="34"/>
      <c r="G5" s="34"/>
      <c r="H5" s="34" t="s">
        <v>150</v>
      </c>
      <c r="I5" s="34" t="s">
        <v>31</v>
      </c>
      <c r="J5" s="34" t="s">
        <v>32</v>
      </c>
      <c r="K5" s="34" t="s">
        <v>33</v>
      </c>
      <c r="L5" s="34" t="s">
        <v>140</v>
      </c>
      <c r="M5" s="34" t="s">
        <v>32</v>
      </c>
      <c r="N5" s="34"/>
      <c r="O5" s="34"/>
      <c r="P5" s="34"/>
      <c r="Q5" s="34"/>
      <c r="R5" s="34"/>
      <c r="S5" s="34"/>
      <c r="T5" s="34"/>
      <c r="U5" s="34"/>
      <c r="V5" s="34"/>
      <c r="W5" s="34"/>
      <c r="X5" s="34"/>
      <c r="Y5" s="34"/>
      <c r="Z5" s="34"/>
      <c r="AA5" s="34"/>
      <c r="AB5" s="34"/>
      <c r="AC5" s="34"/>
      <c r="AD5" s="34"/>
      <c r="AE5" s="34"/>
    </row>
    <row r="6" ht="22.5" customHeight="1">
      <c r="A6" s="33">
        <v>2105697.0</v>
      </c>
      <c r="B6" s="34" t="s">
        <v>812</v>
      </c>
      <c r="C6" s="35">
        <v>5.515988193114E12</v>
      </c>
      <c r="D6" s="34" t="s">
        <v>360</v>
      </c>
      <c r="E6" s="36">
        <v>338.38</v>
      </c>
      <c r="F6" s="34"/>
      <c r="G6" s="34"/>
      <c r="H6" s="34" t="s">
        <v>43</v>
      </c>
      <c r="I6" s="34" t="s">
        <v>44</v>
      </c>
      <c r="J6" s="34" t="s">
        <v>32</v>
      </c>
      <c r="K6" s="34" t="s">
        <v>150</v>
      </c>
      <c r="L6" s="34" t="s">
        <v>31</v>
      </c>
      <c r="M6" s="34" t="s">
        <v>32</v>
      </c>
      <c r="N6" s="34"/>
      <c r="O6" s="34"/>
      <c r="P6" s="34"/>
      <c r="Q6" s="34"/>
      <c r="R6" s="34"/>
      <c r="S6" s="34"/>
      <c r="T6" s="34"/>
      <c r="U6" s="34"/>
      <c r="V6" s="34"/>
      <c r="W6" s="34"/>
      <c r="X6" s="34"/>
      <c r="Y6" s="34"/>
      <c r="Z6" s="34"/>
      <c r="AA6" s="34"/>
      <c r="AB6" s="34"/>
      <c r="AC6" s="34"/>
      <c r="AD6" s="34"/>
      <c r="AE6" s="34"/>
    </row>
    <row r="7" ht="22.5" customHeight="1">
      <c r="A7" s="33">
        <v>2105647.0</v>
      </c>
      <c r="B7" s="34" t="s">
        <v>813</v>
      </c>
      <c r="C7" s="35">
        <v>5.511912460165E12</v>
      </c>
      <c r="D7" s="34" t="s">
        <v>360</v>
      </c>
      <c r="E7" s="36">
        <v>3605.39</v>
      </c>
      <c r="F7" s="34"/>
      <c r="G7" s="34"/>
      <c r="H7" s="34" t="s">
        <v>33</v>
      </c>
      <c r="I7" s="34" t="s">
        <v>338</v>
      </c>
      <c r="J7" s="34" t="s">
        <v>32</v>
      </c>
      <c r="K7" s="34" t="s">
        <v>91</v>
      </c>
      <c r="L7" s="34" t="s">
        <v>338</v>
      </c>
      <c r="M7" s="34" t="s">
        <v>32</v>
      </c>
      <c r="N7" s="34" t="s">
        <v>35</v>
      </c>
      <c r="O7" s="34" t="s">
        <v>338</v>
      </c>
      <c r="P7" s="34" t="s">
        <v>32</v>
      </c>
      <c r="Q7" s="34" t="s">
        <v>361</v>
      </c>
      <c r="R7" s="34" t="s">
        <v>131</v>
      </c>
      <c r="S7" s="34" t="s">
        <v>32</v>
      </c>
      <c r="T7" s="34" t="s">
        <v>108</v>
      </c>
      <c r="U7" s="34" t="s">
        <v>31</v>
      </c>
      <c r="V7" s="34" t="s">
        <v>32</v>
      </c>
      <c r="W7" s="34" t="s">
        <v>37</v>
      </c>
      <c r="X7" s="34" t="s">
        <v>140</v>
      </c>
      <c r="Y7" s="34" t="s">
        <v>32</v>
      </c>
      <c r="Z7" s="34"/>
      <c r="AA7" s="34"/>
      <c r="AB7" s="34"/>
      <c r="AC7" s="34"/>
      <c r="AD7" s="34"/>
      <c r="AE7" s="34"/>
    </row>
    <row r="8" ht="22.5" customHeight="1">
      <c r="A8" s="33">
        <v>2105249.0</v>
      </c>
      <c r="B8" s="34" t="s">
        <v>814</v>
      </c>
      <c r="C8" s="35">
        <v>5.515991804054E12</v>
      </c>
      <c r="D8" s="34" t="s">
        <v>360</v>
      </c>
      <c r="E8" s="36">
        <v>4275.05</v>
      </c>
      <c r="F8" s="34"/>
      <c r="G8" s="34"/>
      <c r="H8" s="34" t="s">
        <v>91</v>
      </c>
      <c r="I8" s="34" t="s">
        <v>291</v>
      </c>
      <c r="J8" s="34" t="s">
        <v>32</v>
      </c>
      <c r="K8" s="34" t="s">
        <v>222</v>
      </c>
      <c r="L8" s="34" t="s">
        <v>291</v>
      </c>
      <c r="M8" s="34" t="s">
        <v>32</v>
      </c>
      <c r="N8" s="34" t="s">
        <v>41</v>
      </c>
      <c r="O8" s="34" t="s">
        <v>31</v>
      </c>
      <c r="P8" s="34" t="s">
        <v>32</v>
      </c>
      <c r="Q8" s="34"/>
      <c r="R8" s="34"/>
      <c r="S8" s="34"/>
      <c r="T8" s="34"/>
      <c r="U8" s="34"/>
      <c r="V8" s="34"/>
      <c r="W8" s="34"/>
      <c r="X8" s="34"/>
      <c r="Y8" s="34"/>
      <c r="Z8" s="34"/>
      <c r="AA8" s="34"/>
      <c r="AB8" s="34"/>
      <c r="AC8" s="34"/>
      <c r="AD8" s="34"/>
      <c r="AE8" s="34"/>
    </row>
    <row r="9" ht="22.5" customHeight="1">
      <c r="A9" s="33">
        <v>2103478.0</v>
      </c>
      <c r="B9" s="34" t="s">
        <v>815</v>
      </c>
      <c r="C9" s="35">
        <v>5.515992893063E12</v>
      </c>
      <c r="D9" s="34" t="s">
        <v>816</v>
      </c>
      <c r="E9" s="36">
        <v>3600.35</v>
      </c>
      <c r="F9" s="34"/>
      <c r="G9" s="34"/>
      <c r="H9" s="34" t="s">
        <v>41</v>
      </c>
      <c r="I9" s="34" t="s">
        <v>31</v>
      </c>
      <c r="J9" s="34" t="s">
        <v>32</v>
      </c>
      <c r="K9" s="34"/>
      <c r="L9" s="34"/>
      <c r="M9" s="34"/>
      <c r="N9" s="34"/>
      <c r="O9" s="34"/>
      <c r="P9" s="34"/>
      <c r="Q9" s="34"/>
      <c r="R9" s="34"/>
      <c r="S9" s="34"/>
      <c r="T9" s="34"/>
      <c r="U9" s="34"/>
      <c r="V9" s="34"/>
      <c r="W9" s="34"/>
      <c r="X9" s="34"/>
      <c r="Y9" s="34"/>
      <c r="Z9" s="34"/>
      <c r="AA9" s="34"/>
      <c r="AB9" s="34"/>
      <c r="AC9" s="34"/>
      <c r="AD9" s="34"/>
      <c r="AE9" s="34"/>
    </row>
    <row r="10" ht="22.5" customHeight="1">
      <c r="A10" s="33">
        <v>2103219.0</v>
      </c>
      <c r="B10" s="34" t="s">
        <v>817</v>
      </c>
      <c r="C10" s="35">
        <v>5.515991562485E12</v>
      </c>
      <c r="D10" s="34" t="s">
        <v>29</v>
      </c>
      <c r="E10" s="36">
        <v>1291.76</v>
      </c>
      <c r="F10" s="34"/>
      <c r="G10" s="34"/>
      <c r="H10" s="34" t="s">
        <v>132</v>
      </c>
      <c r="I10" s="34" t="s">
        <v>262</v>
      </c>
      <c r="J10" s="34" t="s">
        <v>32</v>
      </c>
      <c r="K10" s="34" t="s">
        <v>37</v>
      </c>
      <c r="L10" s="34" t="s">
        <v>414</v>
      </c>
      <c r="M10" s="34" t="s">
        <v>56</v>
      </c>
      <c r="N10" s="34"/>
      <c r="O10" s="34"/>
      <c r="P10" s="34"/>
      <c r="Q10" s="34"/>
      <c r="R10" s="34"/>
      <c r="S10" s="34"/>
      <c r="T10" s="34"/>
      <c r="U10" s="34"/>
      <c r="V10" s="34"/>
      <c r="W10" s="34"/>
      <c r="X10" s="34"/>
      <c r="Y10" s="34"/>
      <c r="Z10" s="34"/>
      <c r="AA10" s="34"/>
      <c r="AB10" s="34"/>
      <c r="AC10" s="34"/>
      <c r="AD10" s="34"/>
      <c r="AE10" s="34"/>
    </row>
    <row r="11" ht="22.5" customHeight="1">
      <c r="A11" s="33">
        <v>2102108.0</v>
      </c>
      <c r="B11" s="34" t="s">
        <v>818</v>
      </c>
      <c r="C11" s="35">
        <v>5.511964685839E12</v>
      </c>
      <c r="D11" s="34" t="s">
        <v>40</v>
      </c>
      <c r="E11" s="36">
        <v>1172.21</v>
      </c>
      <c r="F11" s="34"/>
      <c r="G11" s="34"/>
      <c r="H11" s="34" t="s">
        <v>108</v>
      </c>
      <c r="I11" s="34" t="s">
        <v>31</v>
      </c>
      <c r="J11" s="34" t="s">
        <v>56</v>
      </c>
      <c r="K11" s="34" t="s">
        <v>37</v>
      </c>
      <c r="L11" s="34" t="s">
        <v>819</v>
      </c>
      <c r="M11" s="34" t="s">
        <v>170</v>
      </c>
      <c r="N11" s="34"/>
      <c r="O11" s="34"/>
      <c r="P11" s="34"/>
      <c r="Q11" s="34"/>
      <c r="R11" s="34"/>
      <c r="S11" s="34"/>
      <c r="T11" s="34"/>
      <c r="U11" s="34"/>
      <c r="V11" s="34"/>
      <c r="W11" s="34"/>
      <c r="X11" s="34"/>
      <c r="Y11" s="34"/>
      <c r="Z11" s="34"/>
      <c r="AA11" s="34"/>
      <c r="AB11" s="34"/>
      <c r="AC11" s="34"/>
      <c r="AD11" s="34"/>
      <c r="AE11" s="34"/>
    </row>
    <row r="12" ht="22.5" customHeight="1">
      <c r="A12" s="33">
        <v>2101728.0</v>
      </c>
      <c r="B12" s="34" t="s">
        <v>820</v>
      </c>
      <c r="C12" s="35">
        <v>5.515991323353E12</v>
      </c>
      <c r="D12" s="34" t="s">
        <v>68</v>
      </c>
      <c r="E12" s="36">
        <v>1272.51</v>
      </c>
      <c r="F12" s="34"/>
      <c r="G12" s="34"/>
      <c r="H12" s="34" t="s">
        <v>91</v>
      </c>
      <c r="I12" s="34" t="s">
        <v>225</v>
      </c>
      <c r="J12" s="34" t="s">
        <v>32</v>
      </c>
      <c r="K12" s="34" t="s">
        <v>206</v>
      </c>
      <c r="L12" s="34" t="s">
        <v>31</v>
      </c>
      <c r="M12" s="34" t="s">
        <v>32</v>
      </c>
      <c r="N12" s="34" t="s">
        <v>222</v>
      </c>
      <c r="O12" s="34" t="s">
        <v>225</v>
      </c>
      <c r="P12" s="34" t="s">
        <v>32</v>
      </c>
      <c r="Q12" s="34"/>
      <c r="R12" s="34"/>
      <c r="S12" s="34"/>
      <c r="T12" s="34"/>
      <c r="U12" s="34"/>
      <c r="V12" s="34"/>
      <c r="W12" s="34"/>
      <c r="X12" s="34"/>
      <c r="Y12" s="34"/>
      <c r="Z12" s="34"/>
      <c r="AA12" s="34"/>
      <c r="AB12" s="34"/>
      <c r="AC12" s="34"/>
      <c r="AD12" s="34"/>
      <c r="AE12" s="34"/>
    </row>
    <row r="13" ht="22.5" customHeight="1">
      <c r="A13" s="33">
        <v>2101664.0</v>
      </c>
      <c r="B13" s="34" t="s">
        <v>821</v>
      </c>
      <c r="C13" s="35">
        <v>5.511958668806E12</v>
      </c>
      <c r="D13" s="34" t="s">
        <v>40</v>
      </c>
      <c r="E13" s="36">
        <v>230.62</v>
      </c>
      <c r="F13" s="34"/>
      <c r="G13" s="34"/>
      <c r="H13" s="34" t="s">
        <v>91</v>
      </c>
      <c r="I13" s="34" t="s">
        <v>104</v>
      </c>
      <c r="J13" s="34" t="s">
        <v>32</v>
      </c>
      <c r="K13" s="34"/>
      <c r="L13" s="34"/>
      <c r="M13" s="34"/>
      <c r="N13" s="34"/>
      <c r="O13" s="34"/>
      <c r="P13" s="34"/>
      <c r="Q13" s="34"/>
      <c r="R13" s="34"/>
      <c r="S13" s="34"/>
      <c r="T13" s="34"/>
      <c r="U13" s="34"/>
      <c r="V13" s="34"/>
      <c r="W13" s="34"/>
      <c r="X13" s="34"/>
      <c r="Y13" s="34"/>
      <c r="Z13" s="34"/>
      <c r="AA13" s="34"/>
      <c r="AB13" s="34"/>
      <c r="AC13" s="34"/>
      <c r="AD13" s="34"/>
      <c r="AE13" s="34"/>
    </row>
    <row r="14" ht="22.5" customHeight="1">
      <c r="A14" s="33">
        <v>2101663.0</v>
      </c>
      <c r="B14" s="34" t="s">
        <v>821</v>
      </c>
      <c r="C14" s="35">
        <v>5.511958668806E12</v>
      </c>
      <c r="D14" s="34" t="s">
        <v>40</v>
      </c>
      <c r="E14" s="36">
        <v>2913.77</v>
      </c>
      <c r="F14" s="34"/>
      <c r="G14" s="34"/>
      <c r="H14" s="34" t="s">
        <v>130</v>
      </c>
      <c r="I14" s="34" t="s">
        <v>104</v>
      </c>
      <c r="J14" s="34" t="s">
        <v>32</v>
      </c>
      <c r="K14" s="34" t="s">
        <v>133</v>
      </c>
      <c r="L14" s="34" t="s">
        <v>104</v>
      </c>
      <c r="M14" s="34" t="s">
        <v>32</v>
      </c>
      <c r="N14" s="34" t="s">
        <v>641</v>
      </c>
      <c r="O14" s="34" t="s">
        <v>104</v>
      </c>
      <c r="P14" s="34" t="s">
        <v>32</v>
      </c>
      <c r="Q14" s="34"/>
      <c r="R14" s="34"/>
      <c r="S14" s="34"/>
      <c r="T14" s="34"/>
      <c r="U14" s="34"/>
      <c r="V14" s="34"/>
      <c r="W14" s="34"/>
      <c r="X14" s="34"/>
      <c r="Y14" s="34"/>
      <c r="Z14" s="34"/>
      <c r="AA14" s="34"/>
      <c r="AB14" s="34"/>
      <c r="AC14" s="34"/>
      <c r="AD14" s="34"/>
      <c r="AE14" s="34"/>
    </row>
    <row r="15" ht="22.5" customHeight="1">
      <c r="A15" s="33">
        <v>2100734.0</v>
      </c>
      <c r="B15" s="34" t="s">
        <v>579</v>
      </c>
      <c r="C15" s="35">
        <v>5.515997774546E12</v>
      </c>
      <c r="D15" s="34" t="s">
        <v>360</v>
      </c>
      <c r="E15" s="36">
        <v>1453.75</v>
      </c>
      <c r="F15" s="34"/>
      <c r="G15" s="34"/>
      <c r="H15" s="34" t="s">
        <v>212</v>
      </c>
      <c r="I15" s="34" t="s">
        <v>34</v>
      </c>
      <c r="J15" s="34" t="s">
        <v>32</v>
      </c>
      <c r="K15" s="34" t="s">
        <v>37</v>
      </c>
      <c r="L15" s="34" t="s">
        <v>822</v>
      </c>
      <c r="M15" s="34" t="s">
        <v>70</v>
      </c>
      <c r="N15" s="34"/>
      <c r="O15" s="34"/>
      <c r="P15" s="34"/>
      <c r="Q15" s="34"/>
      <c r="R15" s="34"/>
      <c r="S15" s="34"/>
      <c r="T15" s="34"/>
      <c r="U15" s="34"/>
      <c r="V15" s="34"/>
      <c r="W15" s="34"/>
      <c r="X15" s="34"/>
      <c r="Y15" s="34"/>
      <c r="Z15" s="34"/>
      <c r="AA15" s="34"/>
      <c r="AB15" s="34"/>
      <c r="AC15" s="34"/>
      <c r="AD15" s="34"/>
      <c r="AE15" s="34"/>
    </row>
    <row r="16" ht="22.5" customHeight="1">
      <c r="A16" s="33">
        <v>2099008.0</v>
      </c>
      <c r="B16" s="34" t="s">
        <v>823</v>
      </c>
      <c r="C16" s="35">
        <v>5.5159813361E12</v>
      </c>
      <c r="D16" s="34" t="s">
        <v>40</v>
      </c>
      <c r="E16" s="36">
        <v>336.08</v>
      </c>
      <c r="F16" s="34"/>
      <c r="G16" s="34"/>
      <c r="H16" s="34" t="s">
        <v>108</v>
      </c>
      <c r="I16" s="34" t="s">
        <v>31</v>
      </c>
      <c r="J16" s="34" t="s">
        <v>32</v>
      </c>
      <c r="K16" s="34" t="s">
        <v>37</v>
      </c>
      <c r="L16" s="34" t="s">
        <v>397</v>
      </c>
      <c r="M16" s="34" t="s">
        <v>56</v>
      </c>
      <c r="N16" s="34"/>
      <c r="O16" s="34"/>
      <c r="P16" s="34"/>
      <c r="Q16" s="34"/>
      <c r="R16" s="34"/>
      <c r="S16" s="34"/>
      <c r="T16" s="34"/>
      <c r="U16" s="34"/>
      <c r="V16" s="34"/>
      <c r="W16" s="34"/>
      <c r="X16" s="34"/>
      <c r="Y16" s="34"/>
      <c r="Z16" s="34"/>
      <c r="AA16" s="34"/>
      <c r="AB16" s="34"/>
      <c r="AC16" s="34"/>
      <c r="AD16" s="34"/>
      <c r="AE16" s="34"/>
    </row>
    <row r="17" ht="22.5" customHeight="1">
      <c r="A17" s="33">
        <v>2098227.0</v>
      </c>
      <c r="B17" s="34" t="s">
        <v>824</v>
      </c>
      <c r="C17" s="35">
        <v>5.51598808799E12</v>
      </c>
      <c r="D17" s="34" t="s">
        <v>58</v>
      </c>
      <c r="E17" s="36">
        <v>17814.15</v>
      </c>
      <c r="F17" s="34"/>
      <c r="G17" s="34"/>
      <c r="H17" s="34" t="s">
        <v>150</v>
      </c>
      <c r="I17" s="34" t="s">
        <v>31</v>
      </c>
      <c r="J17" s="34" t="s">
        <v>32</v>
      </c>
      <c r="K17" s="34" t="s">
        <v>33</v>
      </c>
      <c r="L17" s="34" t="s">
        <v>825</v>
      </c>
      <c r="M17" s="34" t="s">
        <v>170</v>
      </c>
      <c r="N17" s="34" t="s">
        <v>59</v>
      </c>
      <c r="O17" s="34" t="s">
        <v>126</v>
      </c>
      <c r="P17" s="34" t="s">
        <v>32</v>
      </c>
      <c r="Q17" s="34" t="s">
        <v>91</v>
      </c>
      <c r="R17" s="34" t="s">
        <v>199</v>
      </c>
      <c r="S17" s="34" t="s">
        <v>32</v>
      </c>
      <c r="T17" s="34" t="s">
        <v>35</v>
      </c>
      <c r="U17" s="34" t="s">
        <v>825</v>
      </c>
      <c r="V17" s="34" t="s">
        <v>170</v>
      </c>
      <c r="W17" s="34" t="s">
        <v>108</v>
      </c>
      <c r="X17" s="34" t="s">
        <v>31</v>
      </c>
      <c r="Y17" s="34" t="s">
        <v>32</v>
      </c>
      <c r="Z17" s="34" t="s">
        <v>123</v>
      </c>
      <c r="AA17" s="34" t="s">
        <v>44</v>
      </c>
      <c r="AB17" s="34" t="s">
        <v>32</v>
      </c>
      <c r="AC17" s="34" t="s">
        <v>37</v>
      </c>
      <c r="AD17" s="34" t="s">
        <v>826</v>
      </c>
      <c r="AE17" s="34" t="s">
        <v>186</v>
      </c>
    </row>
    <row r="18" ht="22.5" customHeight="1">
      <c r="A18" s="33">
        <v>2098220.0</v>
      </c>
      <c r="B18" s="34" t="s">
        <v>824</v>
      </c>
      <c r="C18" s="35">
        <v>5.51598808799E12</v>
      </c>
      <c r="D18" s="34" t="s">
        <v>58</v>
      </c>
      <c r="E18" s="36">
        <v>3304.51</v>
      </c>
      <c r="F18" s="34"/>
      <c r="G18" s="34"/>
      <c r="H18" s="34" t="s">
        <v>150</v>
      </c>
      <c r="I18" s="34" t="s">
        <v>31</v>
      </c>
      <c r="J18" s="34" t="s">
        <v>32</v>
      </c>
      <c r="K18" s="34" t="s">
        <v>91</v>
      </c>
      <c r="L18" s="34" t="s">
        <v>199</v>
      </c>
      <c r="M18" s="34" t="s">
        <v>32</v>
      </c>
      <c r="N18" s="34" t="s">
        <v>108</v>
      </c>
      <c r="O18" s="34" t="s">
        <v>31</v>
      </c>
      <c r="P18" s="34" t="s">
        <v>32</v>
      </c>
      <c r="Q18" s="34" t="s">
        <v>143</v>
      </c>
      <c r="R18" s="34" t="s">
        <v>44</v>
      </c>
      <c r="S18" s="34" t="s">
        <v>32</v>
      </c>
      <c r="T18" s="34" t="s">
        <v>37</v>
      </c>
      <c r="U18" s="34" t="s">
        <v>826</v>
      </c>
      <c r="V18" s="34" t="s">
        <v>186</v>
      </c>
      <c r="W18" s="34"/>
      <c r="X18" s="34"/>
      <c r="Y18" s="34"/>
      <c r="Z18" s="34"/>
      <c r="AA18" s="34"/>
      <c r="AB18" s="34"/>
      <c r="AC18" s="34"/>
      <c r="AD18" s="34"/>
      <c r="AE18" s="34"/>
    </row>
    <row r="19" ht="22.5" customHeight="1">
      <c r="A19" s="33">
        <v>2097373.0</v>
      </c>
      <c r="B19" s="34" t="s">
        <v>827</v>
      </c>
      <c r="C19" s="35">
        <v>5.515991239781E12</v>
      </c>
      <c r="D19" s="34" t="s">
        <v>40</v>
      </c>
      <c r="E19" s="36">
        <v>856.26</v>
      </c>
      <c r="F19" s="34"/>
      <c r="G19" s="34"/>
      <c r="H19" s="34" t="s">
        <v>62</v>
      </c>
      <c r="I19" s="34" t="s">
        <v>63</v>
      </c>
      <c r="J19" s="34" t="s">
        <v>32</v>
      </c>
      <c r="K19" s="34" t="s">
        <v>206</v>
      </c>
      <c r="L19" s="34" t="s">
        <v>31</v>
      </c>
      <c r="M19" s="34" t="s">
        <v>32</v>
      </c>
      <c r="N19" s="34"/>
      <c r="O19" s="34"/>
      <c r="P19" s="34"/>
      <c r="Q19" s="34"/>
      <c r="R19" s="34"/>
      <c r="S19" s="34"/>
      <c r="T19" s="34"/>
      <c r="U19" s="34"/>
      <c r="V19" s="34"/>
      <c r="W19" s="34"/>
      <c r="X19" s="34"/>
      <c r="Y19" s="34"/>
      <c r="Z19" s="34"/>
      <c r="AA19" s="34"/>
      <c r="AB19" s="34"/>
      <c r="AC19" s="34"/>
      <c r="AD19" s="34"/>
      <c r="AE19" s="34"/>
    </row>
    <row r="20" ht="22.5" customHeight="1">
      <c r="A20" s="33">
        <v>2096848.0</v>
      </c>
      <c r="B20" s="34" t="s">
        <v>828</v>
      </c>
      <c r="C20" s="35">
        <v>5.515988175858E12</v>
      </c>
      <c r="D20" s="34" t="s">
        <v>40</v>
      </c>
      <c r="E20" s="36">
        <v>572.97</v>
      </c>
      <c r="F20" s="34"/>
      <c r="G20" s="34"/>
      <c r="H20" s="34" t="s">
        <v>59</v>
      </c>
      <c r="I20" s="34" t="s">
        <v>126</v>
      </c>
      <c r="J20" s="34" t="s">
        <v>32</v>
      </c>
      <c r="K20" s="34" t="s">
        <v>37</v>
      </c>
      <c r="L20" s="34" t="s">
        <v>63</v>
      </c>
      <c r="M20" s="34" t="s">
        <v>32</v>
      </c>
      <c r="N20" s="34"/>
      <c r="O20" s="34"/>
      <c r="P20" s="34"/>
      <c r="Q20" s="34"/>
      <c r="R20" s="34"/>
      <c r="S20" s="34"/>
      <c r="T20" s="34"/>
      <c r="U20" s="34"/>
      <c r="V20" s="34"/>
      <c r="W20" s="34"/>
      <c r="X20" s="34"/>
      <c r="Y20" s="34"/>
      <c r="Z20" s="34"/>
      <c r="AA20" s="34"/>
      <c r="AB20" s="34"/>
      <c r="AC20" s="34"/>
      <c r="AD20" s="34"/>
      <c r="AE20" s="34"/>
    </row>
    <row r="21" ht="22.5" customHeight="1">
      <c r="A21" s="33">
        <v>2096531.0</v>
      </c>
      <c r="B21" s="34" t="s">
        <v>829</v>
      </c>
      <c r="C21" s="35">
        <v>5.515991444069E12</v>
      </c>
      <c r="D21" s="34" t="s">
        <v>360</v>
      </c>
      <c r="E21" s="36">
        <v>3651.24</v>
      </c>
      <c r="F21" s="34"/>
      <c r="G21" s="34"/>
      <c r="H21" s="34" t="s">
        <v>62</v>
      </c>
      <c r="I21" s="34" t="s">
        <v>830</v>
      </c>
      <c r="J21" s="34" t="s">
        <v>186</v>
      </c>
      <c r="K21" s="34" t="s">
        <v>165</v>
      </c>
      <c r="L21" s="34" t="s">
        <v>50</v>
      </c>
      <c r="M21" s="34" t="s">
        <v>32</v>
      </c>
      <c r="N21" s="34" t="s">
        <v>49</v>
      </c>
      <c r="O21" s="34" t="s">
        <v>50</v>
      </c>
      <c r="P21" s="34" t="s">
        <v>32</v>
      </c>
      <c r="Q21" s="34"/>
      <c r="R21" s="34"/>
      <c r="S21" s="34"/>
      <c r="T21" s="34"/>
      <c r="U21" s="34"/>
      <c r="V21" s="34"/>
      <c r="W21" s="34"/>
      <c r="X21" s="34"/>
      <c r="Y21" s="34"/>
      <c r="Z21" s="34"/>
      <c r="AA21" s="34"/>
      <c r="AB21" s="34"/>
      <c r="AC21" s="34"/>
      <c r="AD21" s="34"/>
      <c r="AE21" s="34"/>
    </row>
    <row r="22" ht="22.5" customHeight="1">
      <c r="A22" s="33">
        <v>2096528.0</v>
      </c>
      <c r="B22" s="34" t="s">
        <v>829</v>
      </c>
      <c r="C22" s="35">
        <v>5.515991444069E12</v>
      </c>
      <c r="D22" s="34" t="s">
        <v>360</v>
      </c>
      <c r="E22" s="36">
        <v>15247.02</v>
      </c>
      <c r="F22" s="34"/>
      <c r="G22" s="34"/>
      <c r="H22" s="34" t="s">
        <v>62</v>
      </c>
      <c r="I22" s="34" t="s">
        <v>830</v>
      </c>
      <c r="J22" s="34" t="s">
        <v>186</v>
      </c>
      <c r="K22" s="34" t="s">
        <v>35</v>
      </c>
      <c r="L22" s="34" t="s">
        <v>831</v>
      </c>
      <c r="M22" s="34" t="s">
        <v>70</v>
      </c>
      <c r="N22" s="34" t="s">
        <v>277</v>
      </c>
      <c r="O22" s="34" t="s">
        <v>50</v>
      </c>
      <c r="P22" s="34" t="s">
        <v>32</v>
      </c>
      <c r="Q22" s="34" t="s">
        <v>49</v>
      </c>
      <c r="R22" s="34" t="s">
        <v>50</v>
      </c>
      <c r="S22" s="34" t="s">
        <v>32</v>
      </c>
      <c r="T22" s="34"/>
      <c r="U22" s="34"/>
      <c r="V22" s="34"/>
      <c r="W22" s="34"/>
      <c r="X22" s="34"/>
      <c r="Y22" s="34"/>
      <c r="Z22" s="34"/>
      <c r="AA22" s="34"/>
      <c r="AB22" s="34"/>
      <c r="AC22" s="34"/>
      <c r="AD22" s="34"/>
      <c r="AE22" s="34"/>
    </row>
    <row r="23" ht="22.5" customHeight="1">
      <c r="A23" s="33">
        <v>2096486.0</v>
      </c>
      <c r="B23" s="34" t="s">
        <v>305</v>
      </c>
      <c r="C23" s="35">
        <v>5.515981456779E12</v>
      </c>
      <c r="D23" s="34" t="s">
        <v>360</v>
      </c>
      <c r="E23" s="36">
        <v>431.98</v>
      </c>
      <c r="F23" s="34"/>
      <c r="G23" s="34"/>
      <c r="H23" s="34" t="s">
        <v>739</v>
      </c>
      <c r="I23" s="34" t="s">
        <v>50</v>
      </c>
      <c r="J23" s="34" t="s">
        <v>32</v>
      </c>
      <c r="K23" s="34" t="s">
        <v>108</v>
      </c>
      <c r="L23" s="34" t="s">
        <v>31</v>
      </c>
      <c r="M23" s="34" t="s">
        <v>32</v>
      </c>
      <c r="N23" s="34"/>
      <c r="O23" s="34"/>
      <c r="P23" s="34"/>
      <c r="Q23" s="34"/>
      <c r="R23" s="34"/>
      <c r="S23" s="34"/>
      <c r="T23" s="34"/>
      <c r="U23" s="34"/>
      <c r="V23" s="34"/>
      <c r="W23" s="34"/>
      <c r="X23" s="34"/>
      <c r="Y23" s="34"/>
      <c r="Z23" s="34"/>
      <c r="AA23" s="34"/>
      <c r="AB23" s="34"/>
      <c r="AC23" s="34"/>
      <c r="AD23" s="34"/>
      <c r="AE23" s="34"/>
    </row>
    <row r="24" ht="22.5" customHeight="1">
      <c r="A24" s="33">
        <v>2096210.0</v>
      </c>
      <c r="B24" s="34" t="s">
        <v>832</v>
      </c>
      <c r="C24" s="35">
        <v>5.515997733243E12</v>
      </c>
      <c r="D24" s="34" t="s">
        <v>360</v>
      </c>
      <c r="E24" s="36">
        <v>1334.87</v>
      </c>
      <c r="F24" s="34"/>
      <c r="G24" s="34"/>
      <c r="H24" s="34" t="s">
        <v>206</v>
      </c>
      <c r="I24" s="34" t="s">
        <v>31</v>
      </c>
      <c r="J24" s="34" t="s">
        <v>32</v>
      </c>
      <c r="K24" s="34" t="s">
        <v>37</v>
      </c>
      <c r="L24" s="34" t="s">
        <v>833</v>
      </c>
      <c r="M24" s="34" t="s">
        <v>70</v>
      </c>
      <c r="N24" s="34"/>
      <c r="O24" s="34"/>
      <c r="P24" s="34"/>
      <c r="Q24" s="34"/>
      <c r="R24" s="34"/>
      <c r="S24" s="34"/>
      <c r="T24" s="34"/>
      <c r="U24" s="34"/>
      <c r="V24" s="34"/>
      <c r="W24" s="34"/>
      <c r="X24" s="34"/>
      <c r="Y24" s="34"/>
      <c r="Z24" s="34"/>
      <c r="AA24" s="34"/>
      <c r="AB24" s="34"/>
      <c r="AC24" s="34"/>
      <c r="AD24" s="34"/>
      <c r="AE24" s="34"/>
    </row>
    <row r="25" ht="22.5" customHeight="1">
      <c r="A25" s="33">
        <v>2096198.0</v>
      </c>
      <c r="B25" s="34" t="s">
        <v>834</v>
      </c>
      <c r="C25" s="35">
        <v>5.515988016376E12</v>
      </c>
      <c r="D25" s="34" t="s">
        <v>58</v>
      </c>
      <c r="E25" s="36">
        <v>1828.89</v>
      </c>
      <c r="F25" s="34"/>
      <c r="G25" s="34"/>
      <c r="H25" s="34" t="s">
        <v>150</v>
      </c>
      <c r="I25" s="34" t="s">
        <v>31</v>
      </c>
      <c r="J25" s="34" t="s">
        <v>32</v>
      </c>
      <c r="K25" s="34" t="s">
        <v>108</v>
      </c>
      <c r="L25" s="34" t="s">
        <v>31</v>
      </c>
      <c r="M25" s="34" t="s">
        <v>32</v>
      </c>
      <c r="N25" s="34" t="s">
        <v>37</v>
      </c>
      <c r="O25" s="34" t="s">
        <v>835</v>
      </c>
      <c r="P25" s="34" t="s">
        <v>254</v>
      </c>
      <c r="Q25" s="34"/>
      <c r="R25" s="34"/>
      <c r="S25" s="34"/>
      <c r="T25" s="34"/>
      <c r="U25" s="34"/>
      <c r="V25" s="34"/>
      <c r="W25" s="34"/>
      <c r="X25" s="34"/>
      <c r="Y25" s="34"/>
      <c r="Z25" s="34"/>
      <c r="AA25" s="34"/>
      <c r="AB25" s="34"/>
      <c r="AC25" s="34"/>
      <c r="AD25" s="34"/>
      <c r="AE25" s="34"/>
    </row>
    <row r="26" ht="22.5" customHeight="1">
      <c r="A26" s="33">
        <v>2093359.0</v>
      </c>
      <c r="B26" s="34" t="s">
        <v>836</v>
      </c>
      <c r="C26" s="35">
        <v>5.51599848103E12</v>
      </c>
      <c r="D26" s="34" t="s">
        <v>58</v>
      </c>
      <c r="E26" s="36">
        <v>2852.88</v>
      </c>
      <c r="F26" s="34"/>
      <c r="G26" s="34"/>
      <c r="H26" s="34" t="s">
        <v>33</v>
      </c>
      <c r="I26" s="34" t="s">
        <v>63</v>
      </c>
      <c r="J26" s="34" t="s">
        <v>32</v>
      </c>
      <c r="K26" s="34" t="s">
        <v>59</v>
      </c>
      <c r="L26" s="34" t="s">
        <v>126</v>
      </c>
      <c r="M26" s="34" t="s">
        <v>32</v>
      </c>
      <c r="N26" s="34" t="s">
        <v>62</v>
      </c>
      <c r="O26" s="34" t="s">
        <v>63</v>
      </c>
      <c r="P26" s="34" t="s">
        <v>32</v>
      </c>
      <c r="Q26" s="34" t="s">
        <v>35</v>
      </c>
      <c r="R26" s="34" t="s">
        <v>63</v>
      </c>
      <c r="S26" s="34" t="s">
        <v>32</v>
      </c>
      <c r="T26" s="34"/>
      <c r="U26" s="34"/>
      <c r="V26" s="34"/>
      <c r="W26" s="34"/>
      <c r="X26" s="34"/>
      <c r="Y26" s="34"/>
      <c r="Z26" s="34"/>
      <c r="AA26" s="34"/>
      <c r="AB26" s="34"/>
      <c r="AC26" s="34"/>
      <c r="AD26" s="34"/>
      <c r="AE26" s="34"/>
    </row>
    <row r="27" ht="22.5" customHeight="1">
      <c r="A27" s="33">
        <v>2087537.0</v>
      </c>
      <c r="B27" s="34" t="s">
        <v>837</v>
      </c>
      <c r="C27" s="35">
        <v>5.51499756154E12</v>
      </c>
      <c r="D27" s="34" t="s">
        <v>838</v>
      </c>
      <c r="E27" s="36">
        <v>1724.5</v>
      </c>
      <c r="F27" s="34"/>
      <c r="G27" s="34"/>
      <c r="H27" s="34" t="s">
        <v>130</v>
      </c>
      <c r="I27" s="34" t="s">
        <v>404</v>
      </c>
      <c r="J27" s="34" t="s">
        <v>32</v>
      </c>
      <c r="K27" s="34" t="s">
        <v>133</v>
      </c>
      <c r="L27" s="34" t="s">
        <v>404</v>
      </c>
      <c r="M27" s="34" t="s">
        <v>32</v>
      </c>
      <c r="N27" s="34"/>
      <c r="O27" s="34"/>
      <c r="P27" s="34"/>
      <c r="Q27" s="34"/>
      <c r="R27" s="34"/>
      <c r="S27" s="34"/>
      <c r="T27" s="34"/>
      <c r="U27" s="34"/>
      <c r="V27" s="34"/>
      <c r="W27" s="34"/>
      <c r="X27" s="34"/>
      <c r="Y27" s="34"/>
      <c r="Z27" s="34"/>
      <c r="AA27" s="34"/>
      <c r="AB27" s="34"/>
      <c r="AC27" s="34"/>
      <c r="AD27" s="34"/>
      <c r="AE27" s="34"/>
    </row>
    <row r="28" ht="22.5" customHeight="1">
      <c r="A28" s="33">
        <v>2087317.0</v>
      </c>
      <c r="B28" s="34" t="s">
        <v>839</v>
      </c>
      <c r="C28" s="35">
        <v>5.511965611E12</v>
      </c>
      <c r="D28" s="34" t="s">
        <v>58</v>
      </c>
      <c r="E28" s="36">
        <v>32706.05</v>
      </c>
      <c r="F28" s="34"/>
      <c r="G28" s="34"/>
      <c r="H28" s="34" t="s">
        <v>33</v>
      </c>
      <c r="I28" s="34" t="s">
        <v>840</v>
      </c>
      <c r="J28" s="34" t="s">
        <v>770</v>
      </c>
      <c r="K28" s="34" t="s">
        <v>35</v>
      </c>
      <c r="L28" s="34" t="s">
        <v>840</v>
      </c>
      <c r="M28" s="34" t="s">
        <v>770</v>
      </c>
      <c r="N28" s="34"/>
      <c r="O28" s="34"/>
      <c r="P28" s="34"/>
      <c r="Q28" s="34"/>
      <c r="R28" s="34"/>
      <c r="S28" s="34"/>
      <c r="T28" s="34"/>
      <c r="U28" s="34"/>
      <c r="V28" s="34"/>
      <c r="W28" s="34"/>
      <c r="X28" s="34"/>
      <c r="Y28" s="34"/>
      <c r="Z28" s="34"/>
      <c r="AA28" s="34"/>
      <c r="AB28" s="34"/>
      <c r="AC28" s="34"/>
      <c r="AD28" s="34"/>
      <c r="AE28" s="34"/>
    </row>
    <row r="29" ht="22.5" customHeight="1">
      <c r="A29" s="33">
        <v>2087295.0</v>
      </c>
      <c r="B29" s="34" t="s">
        <v>839</v>
      </c>
      <c r="C29" s="35">
        <v>5.511965611E12</v>
      </c>
      <c r="D29" s="34" t="s">
        <v>58</v>
      </c>
      <c r="E29" s="36">
        <v>6992.1</v>
      </c>
      <c r="F29" s="34"/>
      <c r="G29" s="34"/>
      <c r="H29" s="34" t="s">
        <v>59</v>
      </c>
      <c r="I29" s="34" t="s">
        <v>60</v>
      </c>
      <c r="J29" s="34" t="s">
        <v>61</v>
      </c>
      <c r="K29" s="34" t="s">
        <v>91</v>
      </c>
      <c r="L29" s="34" t="s">
        <v>140</v>
      </c>
      <c r="M29" s="34" t="s">
        <v>32</v>
      </c>
      <c r="N29" s="34" t="s">
        <v>62</v>
      </c>
      <c r="O29" s="34" t="s">
        <v>63</v>
      </c>
      <c r="P29" s="34" t="s">
        <v>32</v>
      </c>
      <c r="Q29" s="34" t="s">
        <v>222</v>
      </c>
      <c r="R29" s="34" t="s">
        <v>425</v>
      </c>
      <c r="S29" s="34" t="s">
        <v>56</v>
      </c>
      <c r="T29" s="34" t="s">
        <v>37</v>
      </c>
      <c r="U29" s="34" t="s">
        <v>841</v>
      </c>
      <c r="V29" s="34" t="s">
        <v>70</v>
      </c>
      <c r="W29" s="34" t="s">
        <v>41</v>
      </c>
      <c r="X29" s="34" t="s">
        <v>31</v>
      </c>
      <c r="Y29" s="34" t="s">
        <v>32</v>
      </c>
      <c r="Z29" s="34"/>
      <c r="AA29" s="34"/>
      <c r="AB29" s="34"/>
      <c r="AC29" s="34"/>
      <c r="AD29" s="34"/>
      <c r="AE29" s="34"/>
    </row>
    <row r="30" ht="22.5" customHeight="1">
      <c r="A30" s="33">
        <v>2087284.0</v>
      </c>
      <c r="B30" s="34" t="s">
        <v>839</v>
      </c>
      <c r="C30" s="35">
        <v>5.511965611E12</v>
      </c>
      <c r="D30" s="34" t="s">
        <v>58</v>
      </c>
      <c r="E30" s="36">
        <v>4426.45</v>
      </c>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row>
    <row r="31" ht="22.5" customHeight="1">
      <c r="A31" s="33">
        <v>2087281.0</v>
      </c>
      <c r="B31" s="34" t="s">
        <v>839</v>
      </c>
      <c r="C31" s="35">
        <v>5.511965611E12</v>
      </c>
      <c r="D31" s="34" t="s">
        <v>58</v>
      </c>
      <c r="E31" s="36">
        <v>2393.26</v>
      </c>
      <c r="F31" s="34"/>
      <c r="G31" s="34"/>
      <c r="H31" s="34" t="s">
        <v>59</v>
      </c>
      <c r="I31" s="34" t="s">
        <v>60</v>
      </c>
      <c r="J31" s="34" t="s">
        <v>61</v>
      </c>
      <c r="K31" s="34" t="s">
        <v>91</v>
      </c>
      <c r="L31" s="34" t="s">
        <v>140</v>
      </c>
      <c r="M31" s="34" t="s">
        <v>32</v>
      </c>
      <c r="N31" s="34" t="s">
        <v>62</v>
      </c>
      <c r="O31" s="34" t="s">
        <v>63</v>
      </c>
      <c r="P31" s="34" t="s">
        <v>32</v>
      </c>
      <c r="Q31" s="34" t="s">
        <v>37</v>
      </c>
      <c r="R31" s="34" t="s">
        <v>841</v>
      </c>
      <c r="S31" s="34" t="s">
        <v>70</v>
      </c>
      <c r="T31" s="34"/>
      <c r="U31" s="34"/>
      <c r="V31" s="34"/>
      <c r="W31" s="34"/>
      <c r="X31" s="34"/>
      <c r="Y31" s="34"/>
      <c r="Z31" s="34"/>
      <c r="AA31" s="34"/>
      <c r="AB31" s="34"/>
      <c r="AC31" s="34"/>
      <c r="AD31" s="34"/>
      <c r="AE31" s="34"/>
    </row>
    <row r="32" ht="22.5" customHeight="1">
      <c r="A32" s="33">
        <v>2087053.0</v>
      </c>
      <c r="B32" s="34" t="s">
        <v>842</v>
      </c>
      <c r="C32" s="35">
        <v>5.515997977781E12</v>
      </c>
      <c r="D32" s="34" t="s">
        <v>677</v>
      </c>
      <c r="E32" s="36">
        <v>2564.38</v>
      </c>
      <c r="F32" s="34"/>
      <c r="G32" s="34"/>
      <c r="H32" s="34" t="s">
        <v>255</v>
      </c>
      <c r="I32" s="34" t="s">
        <v>338</v>
      </c>
      <c r="J32" s="34" t="s">
        <v>32</v>
      </c>
      <c r="K32" s="34" t="s">
        <v>108</v>
      </c>
      <c r="L32" s="34" t="s">
        <v>31</v>
      </c>
      <c r="M32" s="34" t="s">
        <v>32</v>
      </c>
      <c r="N32" s="34" t="s">
        <v>36</v>
      </c>
      <c r="O32" s="34" t="s">
        <v>31</v>
      </c>
      <c r="P32" s="34" t="s">
        <v>32</v>
      </c>
      <c r="Q32" s="34" t="s">
        <v>37</v>
      </c>
      <c r="R32" s="34" t="s">
        <v>843</v>
      </c>
      <c r="S32" s="34" t="s">
        <v>56</v>
      </c>
      <c r="T32" s="34"/>
      <c r="U32" s="34"/>
      <c r="V32" s="34"/>
      <c r="W32" s="34"/>
      <c r="X32" s="34"/>
      <c r="Y32" s="34"/>
      <c r="Z32" s="34"/>
      <c r="AA32" s="34"/>
      <c r="AB32" s="34"/>
      <c r="AC32" s="34"/>
      <c r="AD32" s="34"/>
      <c r="AE32" s="34"/>
    </row>
    <row r="33" ht="22.5" customHeight="1">
      <c r="A33" s="33">
        <v>2098135.0</v>
      </c>
      <c r="B33" s="34" t="s">
        <v>844</v>
      </c>
      <c r="C33" s="35">
        <v>5.515997897811E12</v>
      </c>
      <c r="D33" s="34" t="s">
        <v>58</v>
      </c>
      <c r="E33" s="36">
        <v>1767.51</v>
      </c>
      <c r="F33" s="34"/>
      <c r="G33" s="34"/>
      <c r="H33" s="34" t="s">
        <v>30</v>
      </c>
      <c r="I33" s="34" t="s">
        <v>31</v>
      </c>
      <c r="J33" s="34" t="s">
        <v>32</v>
      </c>
      <c r="K33" s="34" t="s">
        <v>37</v>
      </c>
      <c r="L33" s="34" t="s">
        <v>106</v>
      </c>
      <c r="M33" s="34" t="s">
        <v>56</v>
      </c>
      <c r="N33" s="34"/>
      <c r="O33" s="34"/>
      <c r="P33" s="34"/>
      <c r="Q33" s="34"/>
      <c r="R33" s="34"/>
      <c r="S33" s="34"/>
      <c r="T33" s="34"/>
      <c r="U33" s="34"/>
      <c r="V33" s="34"/>
      <c r="W33" s="34"/>
      <c r="X33" s="34"/>
      <c r="Y33" s="34"/>
      <c r="Z33" s="34"/>
      <c r="AA33" s="34"/>
      <c r="AB33" s="34"/>
      <c r="AC33" s="34"/>
      <c r="AD33" s="34"/>
      <c r="AE33" s="34"/>
    </row>
    <row r="34" ht="22.5" customHeight="1">
      <c r="A34" s="33">
        <v>2095996.0</v>
      </c>
      <c r="B34" s="34" t="s">
        <v>845</v>
      </c>
      <c r="C34" s="35">
        <v>5.515997245254E12</v>
      </c>
      <c r="D34" s="34" t="s">
        <v>58</v>
      </c>
      <c r="E34" s="36">
        <v>4754.34</v>
      </c>
      <c r="F34" s="34"/>
      <c r="G34" s="34"/>
      <c r="H34" s="34" t="s">
        <v>37</v>
      </c>
      <c r="I34" s="34" t="s">
        <v>846</v>
      </c>
      <c r="J34" s="34" t="s">
        <v>186</v>
      </c>
      <c r="K34" s="34" t="s">
        <v>41</v>
      </c>
      <c r="L34" s="34" t="s">
        <v>31</v>
      </c>
      <c r="M34" s="34" t="s">
        <v>32</v>
      </c>
      <c r="N34" s="34"/>
      <c r="O34" s="34"/>
      <c r="P34" s="34"/>
      <c r="Q34" s="34"/>
      <c r="R34" s="34"/>
      <c r="S34" s="34"/>
      <c r="T34" s="34"/>
      <c r="U34" s="34"/>
      <c r="V34" s="34"/>
      <c r="W34" s="34"/>
      <c r="X34" s="34"/>
      <c r="Y34" s="34"/>
      <c r="Z34" s="34"/>
      <c r="AA34" s="34"/>
      <c r="AB34" s="34"/>
      <c r="AC34" s="34"/>
      <c r="AD34" s="34"/>
      <c r="AE34" s="34"/>
    </row>
    <row r="35" ht="22.5" customHeight="1">
      <c r="A35" s="33">
        <v>2095993.0</v>
      </c>
      <c r="B35" s="34" t="s">
        <v>845</v>
      </c>
      <c r="C35" s="35">
        <v>5.515997245254E12</v>
      </c>
      <c r="D35" s="34" t="s">
        <v>58</v>
      </c>
      <c r="E35" s="36">
        <v>1021.11</v>
      </c>
      <c r="F35" s="34"/>
      <c r="G35" s="34"/>
      <c r="H35" s="34" t="s">
        <v>37</v>
      </c>
      <c r="I35" s="34" t="s">
        <v>846</v>
      </c>
      <c r="J35" s="34" t="s">
        <v>186</v>
      </c>
      <c r="K35" s="34"/>
      <c r="L35" s="34"/>
      <c r="M35" s="34"/>
      <c r="N35" s="34"/>
      <c r="O35" s="34"/>
      <c r="P35" s="34"/>
      <c r="Q35" s="34"/>
      <c r="R35" s="34"/>
      <c r="S35" s="34"/>
      <c r="T35" s="34"/>
      <c r="U35" s="34"/>
      <c r="V35" s="34"/>
      <c r="W35" s="34"/>
      <c r="X35" s="34"/>
      <c r="Y35" s="34"/>
      <c r="Z35" s="34"/>
      <c r="AA35" s="34"/>
      <c r="AB35" s="34"/>
      <c r="AC35" s="34"/>
      <c r="AD35" s="34"/>
      <c r="AE35" s="34"/>
    </row>
    <row r="36" ht="22.5" customHeight="1">
      <c r="A36" s="33">
        <v>2095754.0</v>
      </c>
      <c r="B36" s="34" t="s">
        <v>847</v>
      </c>
      <c r="C36" s="35">
        <v>5.51195104265E12</v>
      </c>
      <c r="D36" s="34" t="s">
        <v>677</v>
      </c>
      <c r="E36" s="36">
        <v>3237.75</v>
      </c>
      <c r="F36" s="34"/>
      <c r="G36" s="34"/>
      <c r="H36" s="34" t="s">
        <v>130</v>
      </c>
      <c r="I36" s="34" t="s">
        <v>262</v>
      </c>
      <c r="J36" s="34" t="s">
        <v>32</v>
      </c>
      <c r="K36" s="34" t="s">
        <v>59</v>
      </c>
      <c r="L36" s="34" t="s">
        <v>848</v>
      </c>
      <c r="M36" s="34" t="s">
        <v>56</v>
      </c>
      <c r="N36" s="34" t="s">
        <v>133</v>
      </c>
      <c r="O36" s="34" t="s">
        <v>262</v>
      </c>
      <c r="P36" s="34" t="s">
        <v>32</v>
      </c>
      <c r="Q36" s="34" t="s">
        <v>37</v>
      </c>
      <c r="R36" s="34" t="s">
        <v>849</v>
      </c>
      <c r="S36" s="34" t="s">
        <v>70</v>
      </c>
      <c r="T36" s="34"/>
      <c r="U36" s="34"/>
      <c r="V36" s="34"/>
      <c r="W36" s="34"/>
      <c r="X36" s="34"/>
      <c r="Y36" s="34"/>
      <c r="Z36" s="34"/>
      <c r="AA36" s="34"/>
      <c r="AB36" s="34"/>
      <c r="AC36" s="34"/>
      <c r="AD36" s="34"/>
      <c r="AE36" s="34"/>
    </row>
    <row r="37" ht="22.5" customHeight="1">
      <c r="A37" s="33">
        <v>2095753.0</v>
      </c>
      <c r="B37" s="34" t="s">
        <v>847</v>
      </c>
      <c r="C37" s="35">
        <v>5.51195104265E12</v>
      </c>
      <c r="D37" s="34" t="s">
        <v>677</v>
      </c>
      <c r="E37" s="36">
        <v>1513.25</v>
      </c>
      <c r="F37" s="34"/>
      <c r="G37" s="34"/>
      <c r="H37" s="34" t="s">
        <v>59</v>
      </c>
      <c r="I37" s="34" t="s">
        <v>848</v>
      </c>
      <c r="J37" s="34" t="s">
        <v>56</v>
      </c>
      <c r="K37" s="34" t="s">
        <v>37</v>
      </c>
      <c r="L37" s="34" t="s">
        <v>849</v>
      </c>
      <c r="M37" s="34" t="s">
        <v>70</v>
      </c>
      <c r="N37" s="34"/>
      <c r="O37" s="34"/>
      <c r="P37" s="34"/>
      <c r="Q37" s="34"/>
      <c r="R37" s="34"/>
      <c r="S37" s="34"/>
      <c r="T37" s="34"/>
      <c r="U37" s="34"/>
      <c r="V37" s="34"/>
      <c r="W37" s="34"/>
      <c r="X37" s="34"/>
      <c r="Y37" s="34"/>
      <c r="Z37" s="34"/>
      <c r="AA37" s="34"/>
      <c r="AB37" s="34"/>
      <c r="AC37" s="34"/>
      <c r="AD37" s="34"/>
      <c r="AE37" s="34"/>
    </row>
    <row r="38" ht="22.5" customHeight="1">
      <c r="A38" s="33">
        <v>2095422.0</v>
      </c>
      <c r="B38" s="34" t="s">
        <v>850</v>
      </c>
      <c r="C38" s="35">
        <v>5.515991297259E12</v>
      </c>
      <c r="D38" s="34" t="s">
        <v>677</v>
      </c>
      <c r="E38" s="36">
        <v>29732.8</v>
      </c>
      <c r="F38" s="34"/>
      <c r="G38" s="34"/>
      <c r="H38" s="34" t="s">
        <v>615</v>
      </c>
      <c r="I38" s="34" t="s">
        <v>851</v>
      </c>
      <c r="J38" s="34" t="s">
        <v>46</v>
      </c>
      <c r="K38" s="34" t="s">
        <v>35</v>
      </c>
      <c r="L38" s="34" t="s">
        <v>852</v>
      </c>
      <c r="M38" s="34" t="s">
        <v>853</v>
      </c>
      <c r="N38" s="34" t="s">
        <v>277</v>
      </c>
      <c r="O38" s="34" t="s">
        <v>44</v>
      </c>
      <c r="P38" s="34" t="s">
        <v>32</v>
      </c>
      <c r="Q38" s="34"/>
      <c r="R38" s="34"/>
      <c r="S38" s="34"/>
      <c r="T38" s="34"/>
      <c r="U38" s="34"/>
      <c r="V38" s="34"/>
      <c r="W38" s="34"/>
      <c r="X38" s="34"/>
      <c r="Y38" s="34"/>
      <c r="Z38" s="34"/>
      <c r="AA38" s="34"/>
      <c r="AB38" s="34"/>
      <c r="AC38" s="34"/>
      <c r="AD38" s="34"/>
      <c r="AE38" s="34"/>
    </row>
    <row r="39" ht="22.5" customHeight="1">
      <c r="A39" s="33">
        <v>2095372.0</v>
      </c>
      <c r="B39" s="34" t="s">
        <v>854</v>
      </c>
      <c r="C39" s="35">
        <v>5.515991077752E12</v>
      </c>
      <c r="D39" s="34" t="s">
        <v>89</v>
      </c>
      <c r="E39" s="36">
        <v>2497.51</v>
      </c>
      <c r="F39" s="34"/>
      <c r="G39" s="34"/>
      <c r="H39" s="34" t="s">
        <v>130</v>
      </c>
      <c r="I39" s="34" t="s">
        <v>338</v>
      </c>
      <c r="J39" s="34" t="s">
        <v>32</v>
      </c>
      <c r="K39" s="34" t="s">
        <v>212</v>
      </c>
      <c r="L39" s="34" t="s">
        <v>338</v>
      </c>
      <c r="M39" s="34" t="s">
        <v>32</v>
      </c>
      <c r="N39" s="34" t="s">
        <v>133</v>
      </c>
      <c r="O39" s="34" t="s">
        <v>338</v>
      </c>
      <c r="P39" s="34" t="s">
        <v>32</v>
      </c>
      <c r="Q39" s="34"/>
      <c r="R39" s="34"/>
      <c r="S39" s="34"/>
      <c r="T39" s="34"/>
      <c r="U39" s="34"/>
      <c r="V39" s="34"/>
      <c r="W39" s="34"/>
      <c r="X39" s="34"/>
      <c r="Y39" s="34"/>
      <c r="Z39" s="34"/>
      <c r="AA39" s="34"/>
      <c r="AB39" s="34"/>
      <c r="AC39" s="34"/>
      <c r="AD39" s="34"/>
      <c r="AE39" s="34"/>
    </row>
    <row r="40" ht="22.5" customHeight="1">
      <c r="A40" s="33">
        <v>2095370.0</v>
      </c>
      <c r="B40" s="34" t="s">
        <v>854</v>
      </c>
      <c r="C40" s="35">
        <v>5.515991077752E12</v>
      </c>
      <c r="D40" s="34" t="s">
        <v>89</v>
      </c>
      <c r="E40" s="36">
        <v>4673.13</v>
      </c>
      <c r="F40" s="34"/>
      <c r="G40" s="34"/>
      <c r="H40" s="34" t="s">
        <v>130</v>
      </c>
      <c r="I40" s="34" t="s">
        <v>338</v>
      </c>
      <c r="J40" s="34" t="s">
        <v>32</v>
      </c>
      <c r="K40" s="34" t="s">
        <v>212</v>
      </c>
      <c r="L40" s="34" t="s">
        <v>338</v>
      </c>
      <c r="M40" s="34" t="s">
        <v>32</v>
      </c>
      <c r="N40" s="34" t="s">
        <v>59</v>
      </c>
      <c r="O40" s="34" t="s">
        <v>307</v>
      </c>
      <c r="P40" s="34" t="s">
        <v>70</v>
      </c>
      <c r="Q40" s="34" t="s">
        <v>133</v>
      </c>
      <c r="R40" s="34" t="s">
        <v>338</v>
      </c>
      <c r="S40" s="34" t="s">
        <v>32</v>
      </c>
      <c r="T40" s="34" t="s">
        <v>37</v>
      </c>
      <c r="U40" s="34" t="s">
        <v>855</v>
      </c>
      <c r="V40" s="34" t="s">
        <v>61</v>
      </c>
      <c r="W40" s="34"/>
      <c r="X40" s="34"/>
      <c r="Y40" s="34"/>
      <c r="Z40" s="34"/>
      <c r="AA40" s="34"/>
      <c r="AB40" s="34"/>
      <c r="AC40" s="34"/>
      <c r="AD40" s="34"/>
      <c r="AE40" s="34"/>
    </row>
    <row r="41" ht="22.5" customHeight="1">
      <c r="A41" s="33">
        <v>2095314.0</v>
      </c>
      <c r="B41" s="34" t="s">
        <v>856</v>
      </c>
      <c r="C41" s="35">
        <v>5.515991323353E12</v>
      </c>
      <c r="D41" s="34" t="s">
        <v>857</v>
      </c>
      <c r="E41" s="36">
        <v>3330.02</v>
      </c>
      <c r="F41" s="34"/>
      <c r="G41" s="34"/>
      <c r="H41" s="34" t="s">
        <v>33</v>
      </c>
      <c r="I41" s="34" t="s">
        <v>225</v>
      </c>
      <c r="J41" s="34" t="s">
        <v>32</v>
      </c>
      <c r="K41" s="34" t="s">
        <v>35</v>
      </c>
      <c r="L41" s="34" t="s">
        <v>225</v>
      </c>
      <c r="M41" s="34" t="s">
        <v>32</v>
      </c>
      <c r="N41" s="34" t="s">
        <v>222</v>
      </c>
      <c r="O41" s="34" t="s">
        <v>225</v>
      </c>
      <c r="P41" s="34" t="s">
        <v>32</v>
      </c>
      <c r="Q41" s="34"/>
      <c r="R41" s="34"/>
      <c r="S41" s="34"/>
      <c r="T41" s="34"/>
      <c r="U41" s="34"/>
      <c r="V41" s="34"/>
      <c r="W41" s="34"/>
      <c r="X41" s="34"/>
      <c r="Y41" s="34"/>
      <c r="Z41" s="34"/>
      <c r="AA41" s="34"/>
      <c r="AB41" s="34"/>
      <c r="AC41" s="34"/>
      <c r="AD41" s="34"/>
      <c r="AE41" s="34"/>
    </row>
    <row r="42" ht="22.5" customHeight="1">
      <c r="A42" s="33">
        <v>2095264.0</v>
      </c>
      <c r="B42" s="34" t="s">
        <v>858</v>
      </c>
      <c r="C42" s="35">
        <v>5.515997467522E12</v>
      </c>
      <c r="D42" s="34" t="s">
        <v>677</v>
      </c>
      <c r="E42" s="36">
        <v>446.69</v>
      </c>
      <c r="F42" s="34"/>
      <c r="G42" s="34"/>
      <c r="H42" s="34" t="s">
        <v>108</v>
      </c>
      <c r="I42" s="34" t="s">
        <v>31</v>
      </c>
      <c r="J42" s="34" t="s">
        <v>32</v>
      </c>
      <c r="K42" s="34" t="s">
        <v>37</v>
      </c>
      <c r="L42" s="34" t="s">
        <v>225</v>
      </c>
      <c r="M42" s="34" t="s">
        <v>32</v>
      </c>
      <c r="N42" s="34"/>
      <c r="O42" s="34"/>
      <c r="P42" s="34"/>
      <c r="Q42" s="34"/>
      <c r="R42" s="34"/>
      <c r="S42" s="34"/>
      <c r="T42" s="34"/>
      <c r="U42" s="34"/>
      <c r="V42" s="34"/>
      <c r="W42" s="34"/>
      <c r="X42" s="34"/>
      <c r="Y42" s="34"/>
      <c r="Z42" s="34"/>
      <c r="AA42" s="34"/>
      <c r="AB42" s="34"/>
      <c r="AC42" s="34"/>
      <c r="AD42" s="34"/>
      <c r="AE42" s="34"/>
    </row>
    <row r="43" ht="22.5" customHeight="1">
      <c r="A43" s="33">
        <v>2094858.0</v>
      </c>
      <c r="B43" s="34" t="s">
        <v>859</v>
      </c>
      <c r="C43" s="35">
        <v>5.515981112569E12</v>
      </c>
      <c r="D43" s="34" t="s">
        <v>29</v>
      </c>
      <c r="E43" s="36">
        <v>8000.13</v>
      </c>
      <c r="F43" s="34"/>
      <c r="G43" s="34"/>
      <c r="H43" s="34" t="s">
        <v>35</v>
      </c>
      <c r="I43" s="34" t="s">
        <v>860</v>
      </c>
      <c r="J43" s="34" t="s">
        <v>186</v>
      </c>
      <c r="K43" s="34" t="s">
        <v>277</v>
      </c>
      <c r="L43" s="34" t="s">
        <v>44</v>
      </c>
      <c r="M43" s="34" t="s">
        <v>32</v>
      </c>
      <c r="N43" s="34"/>
      <c r="O43" s="34"/>
      <c r="P43" s="34"/>
      <c r="Q43" s="34"/>
      <c r="R43" s="34"/>
      <c r="S43" s="34"/>
      <c r="T43" s="34"/>
      <c r="U43" s="34"/>
      <c r="V43" s="34"/>
      <c r="W43" s="34"/>
      <c r="X43" s="34"/>
      <c r="Y43" s="34"/>
      <c r="Z43" s="34"/>
      <c r="AA43" s="34"/>
      <c r="AB43" s="34"/>
      <c r="AC43" s="34"/>
      <c r="AD43" s="34"/>
      <c r="AE43" s="34"/>
    </row>
    <row r="44" ht="22.5" customHeight="1">
      <c r="A44" s="33">
        <v>2094122.0</v>
      </c>
      <c r="B44" s="34" t="s">
        <v>861</v>
      </c>
      <c r="C44" s="35">
        <v>5.515991775914E12</v>
      </c>
      <c r="D44" s="34" t="s">
        <v>702</v>
      </c>
      <c r="E44" s="36">
        <v>1724.5</v>
      </c>
      <c r="F44" s="34"/>
      <c r="G44" s="34"/>
      <c r="H44" s="34" t="s">
        <v>143</v>
      </c>
      <c r="I44" s="34" t="s">
        <v>44</v>
      </c>
      <c r="J44" s="34" t="s">
        <v>32</v>
      </c>
      <c r="K44" s="34"/>
      <c r="L44" s="34"/>
      <c r="M44" s="34"/>
      <c r="N44" s="34"/>
      <c r="O44" s="34"/>
      <c r="P44" s="34"/>
      <c r="Q44" s="34"/>
      <c r="R44" s="34"/>
      <c r="S44" s="34"/>
      <c r="T44" s="34"/>
      <c r="U44" s="34"/>
      <c r="V44" s="34"/>
      <c r="W44" s="34"/>
      <c r="X44" s="34"/>
      <c r="Y44" s="34"/>
      <c r="Z44" s="34"/>
      <c r="AA44" s="34"/>
      <c r="AB44" s="34"/>
      <c r="AC44" s="34"/>
      <c r="AD44" s="34"/>
      <c r="AE44" s="34"/>
    </row>
    <row r="45" ht="22.5" customHeight="1">
      <c r="A45" s="33">
        <v>2093962.0</v>
      </c>
      <c r="B45" s="34" t="s">
        <v>862</v>
      </c>
      <c r="C45" s="35">
        <v>5.515996606376E12</v>
      </c>
      <c r="D45" s="34" t="s">
        <v>296</v>
      </c>
      <c r="E45" s="36">
        <v>2643.01</v>
      </c>
      <c r="F45" s="34"/>
      <c r="G45" s="34"/>
      <c r="H45" s="34" t="s">
        <v>108</v>
      </c>
      <c r="I45" s="34" t="s">
        <v>31</v>
      </c>
      <c r="J45" s="34" t="s">
        <v>32</v>
      </c>
      <c r="K45" s="34" t="s">
        <v>37</v>
      </c>
      <c r="L45" s="34" t="s">
        <v>863</v>
      </c>
      <c r="M45" s="34" t="s">
        <v>70</v>
      </c>
      <c r="N45" s="34" t="s">
        <v>109</v>
      </c>
      <c r="O45" s="34" t="s">
        <v>864</v>
      </c>
      <c r="P45" s="34" t="s">
        <v>70</v>
      </c>
      <c r="Q45" s="34"/>
      <c r="R45" s="34"/>
      <c r="S45" s="34"/>
      <c r="T45" s="34"/>
      <c r="U45" s="34"/>
      <c r="V45" s="34"/>
      <c r="W45" s="34"/>
      <c r="X45" s="34"/>
      <c r="Y45" s="34"/>
      <c r="Z45" s="34"/>
      <c r="AA45" s="34"/>
      <c r="AB45" s="34"/>
      <c r="AC45" s="34"/>
      <c r="AD45" s="34"/>
      <c r="AE45" s="34"/>
    </row>
    <row r="46" ht="22.5" customHeight="1">
      <c r="A46" s="33">
        <v>2093959.0</v>
      </c>
      <c r="B46" s="34" t="s">
        <v>862</v>
      </c>
      <c r="C46" s="35">
        <v>5.515996606376E12</v>
      </c>
      <c r="D46" s="34" t="s">
        <v>296</v>
      </c>
      <c r="E46" s="36">
        <v>22980.29</v>
      </c>
      <c r="F46" s="34"/>
      <c r="G46" s="34"/>
      <c r="H46" s="34" t="s">
        <v>252</v>
      </c>
      <c r="I46" s="34" t="s">
        <v>270</v>
      </c>
      <c r="J46" s="34" t="s">
        <v>271</v>
      </c>
      <c r="K46" s="34" t="s">
        <v>108</v>
      </c>
      <c r="L46" s="34" t="s">
        <v>31</v>
      </c>
      <c r="M46" s="34" t="s">
        <v>32</v>
      </c>
      <c r="N46" s="34" t="s">
        <v>37</v>
      </c>
      <c r="O46" s="34" t="s">
        <v>863</v>
      </c>
      <c r="P46" s="34" t="s">
        <v>70</v>
      </c>
      <c r="Q46" s="34"/>
      <c r="R46" s="34"/>
      <c r="S46" s="34"/>
      <c r="T46" s="34"/>
      <c r="U46" s="34"/>
      <c r="V46" s="34"/>
      <c r="W46" s="34"/>
      <c r="X46" s="34"/>
      <c r="Y46" s="34"/>
      <c r="Z46" s="34"/>
      <c r="AA46" s="34"/>
      <c r="AB46" s="34"/>
      <c r="AC46" s="34"/>
      <c r="AD46" s="34"/>
      <c r="AE46" s="34"/>
    </row>
    <row r="47" ht="22.5" customHeight="1">
      <c r="A47" s="33">
        <v>2093960.0</v>
      </c>
      <c r="B47" s="34" t="s">
        <v>862</v>
      </c>
      <c r="C47" s="35">
        <v>5.515996606376E12</v>
      </c>
      <c r="D47" s="34" t="s">
        <v>296</v>
      </c>
      <c r="E47" s="36">
        <v>5735.27</v>
      </c>
      <c r="F47" s="34"/>
      <c r="G47" s="34"/>
      <c r="H47" s="34" t="s">
        <v>116</v>
      </c>
      <c r="I47" s="34" t="s">
        <v>270</v>
      </c>
      <c r="J47" s="34" t="s">
        <v>271</v>
      </c>
      <c r="K47" s="34" t="s">
        <v>108</v>
      </c>
      <c r="L47" s="34" t="s">
        <v>31</v>
      </c>
      <c r="M47" s="34" t="s">
        <v>32</v>
      </c>
      <c r="N47" s="34" t="s">
        <v>37</v>
      </c>
      <c r="O47" s="34" t="s">
        <v>863</v>
      </c>
      <c r="P47" s="34" t="s">
        <v>70</v>
      </c>
      <c r="Q47" s="34"/>
      <c r="R47" s="34"/>
      <c r="S47" s="34"/>
      <c r="T47" s="34"/>
      <c r="U47" s="34"/>
      <c r="V47" s="34"/>
      <c r="W47" s="34"/>
      <c r="X47" s="34"/>
      <c r="Y47" s="34"/>
      <c r="Z47" s="34"/>
      <c r="AA47" s="34"/>
      <c r="AB47" s="34"/>
      <c r="AC47" s="34"/>
      <c r="AD47" s="34"/>
      <c r="AE47" s="34"/>
    </row>
    <row r="48" ht="22.5" customHeight="1">
      <c r="A48" s="33">
        <v>2092337.0</v>
      </c>
      <c r="B48" s="34" t="s">
        <v>865</v>
      </c>
      <c r="C48" s="35">
        <v>5.515997184113E12</v>
      </c>
      <c r="D48" s="34" t="s">
        <v>173</v>
      </c>
      <c r="E48" s="36">
        <v>3059.37</v>
      </c>
      <c r="F48" s="34"/>
      <c r="G48" s="34"/>
      <c r="H48" s="34" t="s">
        <v>30</v>
      </c>
      <c r="I48" s="34" t="s">
        <v>31</v>
      </c>
      <c r="J48" s="34" t="s">
        <v>32</v>
      </c>
      <c r="K48" s="34" t="s">
        <v>116</v>
      </c>
      <c r="L48" s="34" t="s">
        <v>448</v>
      </c>
      <c r="M48" s="34" t="s">
        <v>56</v>
      </c>
      <c r="N48" s="34" t="s">
        <v>37</v>
      </c>
      <c r="O48" s="34" t="s">
        <v>866</v>
      </c>
      <c r="P48" s="34" t="s">
        <v>70</v>
      </c>
      <c r="Q48" s="34"/>
      <c r="R48" s="34"/>
      <c r="S48" s="34"/>
      <c r="T48" s="34"/>
      <c r="U48" s="34"/>
      <c r="V48" s="34"/>
      <c r="W48" s="34"/>
      <c r="X48" s="34"/>
      <c r="Y48" s="34"/>
      <c r="Z48" s="34"/>
      <c r="AA48" s="34"/>
      <c r="AB48" s="34"/>
      <c r="AC48" s="34"/>
      <c r="AD48" s="34"/>
      <c r="AE48" s="34"/>
    </row>
    <row r="49" ht="22.5" customHeight="1">
      <c r="A49" s="33">
        <v>2091922.0</v>
      </c>
      <c r="B49" s="34" t="s">
        <v>867</v>
      </c>
      <c r="C49" s="35">
        <v>5.51599101653E12</v>
      </c>
      <c r="D49" s="34" t="s">
        <v>360</v>
      </c>
      <c r="E49" s="36">
        <v>1457.0</v>
      </c>
      <c r="F49" s="34"/>
      <c r="G49" s="34"/>
      <c r="H49" s="34" t="s">
        <v>212</v>
      </c>
      <c r="I49" s="34" t="s">
        <v>139</v>
      </c>
      <c r="J49" s="34" t="s">
        <v>32</v>
      </c>
      <c r="K49" s="34" t="s">
        <v>108</v>
      </c>
      <c r="L49" s="34" t="s">
        <v>31</v>
      </c>
      <c r="M49" s="34" t="s">
        <v>32</v>
      </c>
      <c r="N49" s="34" t="s">
        <v>37</v>
      </c>
      <c r="O49" s="34" t="s">
        <v>868</v>
      </c>
      <c r="P49" s="34" t="s">
        <v>61</v>
      </c>
      <c r="Q49" s="34"/>
      <c r="R49" s="34"/>
      <c r="S49" s="34"/>
      <c r="T49" s="34"/>
      <c r="U49" s="34"/>
      <c r="V49" s="34"/>
      <c r="W49" s="34"/>
      <c r="X49" s="34"/>
      <c r="Y49" s="34"/>
      <c r="Z49" s="34"/>
      <c r="AA49" s="34"/>
      <c r="AB49" s="34"/>
      <c r="AC49" s="34"/>
      <c r="AD49" s="34"/>
      <c r="AE49" s="34"/>
    </row>
    <row r="50" ht="22.5" customHeight="1">
      <c r="A50" s="33">
        <v>2091622.0</v>
      </c>
      <c r="B50" s="34" t="s">
        <v>869</v>
      </c>
      <c r="C50" s="35">
        <v>5.51599101653E12</v>
      </c>
      <c r="D50" s="34" t="s">
        <v>360</v>
      </c>
      <c r="E50" s="36">
        <v>1100.0</v>
      </c>
      <c r="F50" s="34"/>
      <c r="G50" s="34"/>
      <c r="H50" s="34" t="s">
        <v>212</v>
      </c>
      <c r="I50" s="34" t="s">
        <v>140</v>
      </c>
      <c r="J50" s="34" t="s">
        <v>32</v>
      </c>
      <c r="K50" s="34" t="s">
        <v>37</v>
      </c>
      <c r="L50" s="34" t="s">
        <v>409</v>
      </c>
      <c r="M50" s="34" t="s">
        <v>56</v>
      </c>
      <c r="N50" s="34"/>
      <c r="O50" s="34"/>
      <c r="P50" s="34"/>
      <c r="Q50" s="34"/>
      <c r="R50" s="34"/>
      <c r="S50" s="34"/>
      <c r="T50" s="34"/>
      <c r="U50" s="34"/>
      <c r="V50" s="34"/>
      <c r="W50" s="34"/>
      <c r="X50" s="34"/>
      <c r="Y50" s="34"/>
      <c r="Z50" s="34"/>
      <c r="AA50" s="34"/>
      <c r="AB50" s="34"/>
      <c r="AC50" s="34"/>
      <c r="AD50" s="34"/>
      <c r="AE50" s="34"/>
    </row>
    <row r="51" ht="22.5" customHeight="1">
      <c r="A51" s="33">
        <v>2090898.0</v>
      </c>
      <c r="B51" s="34" t="s">
        <v>870</v>
      </c>
      <c r="C51" s="35">
        <v>5.515988254159E12</v>
      </c>
      <c r="D51" s="34" t="s">
        <v>89</v>
      </c>
      <c r="E51" s="36">
        <v>28094.36</v>
      </c>
      <c r="F51" s="34"/>
      <c r="G51" s="34"/>
      <c r="H51" s="34" t="s">
        <v>33</v>
      </c>
      <c r="I51" s="34" t="s">
        <v>871</v>
      </c>
      <c r="J51" s="34" t="s">
        <v>186</v>
      </c>
      <c r="K51" s="34" t="s">
        <v>35</v>
      </c>
      <c r="L51" s="34" t="s">
        <v>872</v>
      </c>
      <c r="M51" s="34" t="s">
        <v>271</v>
      </c>
      <c r="N51" s="34" t="s">
        <v>277</v>
      </c>
      <c r="O51" s="34" t="s">
        <v>44</v>
      </c>
      <c r="P51" s="34" t="s">
        <v>32</v>
      </c>
      <c r="Q51" s="34" t="s">
        <v>49</v>
      </c>
      <c r="R51" s="34" t="s">
        <v>44</v>
      </c>
      <c r="S51" s="34" t="s">
        <v>32</v>
      </c>
      <c r="T51" s="34"/>
      <c r="U51" s="34"/>
      <c r="V51" s="34"/>
      <c r="W51" s="34"/>
      <c r="X51" s="34"/>
      <c r="Y51" s="34"/>
      <c r="Z51" s="34"/>
      <c r="AA51" s="34"/>
      <c r="AB51" s="34"/>
      <c r="AC51" s="34"/>
      <c r="AD51" s="34"/>
      <c r="AE51" s="34"/>
    </row>
    <row r="52" ht="22.5" customHeight="1">
      <c r="A52" s="33">
        <v>2089879.0</v>
      </c>
      <c r="B52" s="34" t="s">
        <v>873</v>
      </c>
      <c r="C52" s="35">
        <v>5.515997081901E12</v>
      </c>
      <c r="D52" s="34" t="s">
        <v>40</v>
      </c>
      <c r="E52" s="36">
        <v>3508.5</v>
      </c>
      <c r="F52" s="34"/>
      <c r="G52" s="34"/>
      <c r="H52" s="34" t="s">
        <v>33</v>
      </c>
      <c r="I52" s="34" t="s">
        <v>115</v>
      </c>
      <c r="J52" s="34" t="s">
        <v>32</v>
      </c>
      <c r="K52" s="34" t="s">
        <v>54</v>
      </c>
      <c r="L52" s="34" t="s">
        <v>874</v>
      </c>
      <c r="M52" s="34" t="s">
        <v>32</v>
      </c>
      <c r="N52" s="34" t="s">
        <v>35</v>
      </c>
      <c r="O52" s="34" t="s">
        <v>115</v>
      </c>
      <c r="P52" s="34" t="s">
        <v>32</v>
      </c>
      <c r="Q52" s="34" t="s">
        <v>222</v>
      </c>
      <c r="R52" s="34" t="s">
        <v>115</v>
      </c>
      <c r="S52" s="34" t="s">
        <v>32</v>
      </c>
      <c r="T52" s="34"/>
      <c r="U52" s="34"/>
      <c r="V52" s="34"/>
      <c r="W52" s="34"/>
      <c r="X52" s="34"/>
      <c r="Y52" s="34"/>
      <c r="Z52" s="34"/>
      <c r="AA52" s="34"/>
      <c r="AB52" s="34"/>
      <c r="AC52" s="34"/>
      <c r="AD52" s="34"/>
      <c r="AE52" s="34"/>
    </row>
    <row r="53" ht="22.5" customHeight="1">
      <c r="A53" s="33">
        <v>2089538.0</v>
      </c>
      <c r="B53" s="34" t="s">
        <v>875</v>
      </c>
      <c r="C53" s="35">
        <v>5.515991123532E12</v>
      </c>
      <c r="D53" s="34" t="s">
        <v>296</v>
      </c>
      <c r="E53" s="36">
        <v>5326.75</v>
      </c>
      <c r="F53" s="34"/>
      <c r="G53" s="34"/>
      <c r="H53" s="34" t="s">
        <v>59</v>
      </c>
      <c r="I53" s="34" t="s">
        <v>126</v>
      </c>
      <c r="J53" s="34" t="s">
        <v>32</v>
      </c>
      <c r="K53" s="34" t="s">
        <v>37</v>
      </c>
      <c r="L53" s="34" t="s">
        <v>131</v>
      </c>
      <c r="M53" s="34" t="s">
        <v>32</v>
      </c>
      <c r="N53" s="34" t="s">
        <v>41</v>
      </c>
      <c r="O53" s="34" t="s">
        <v>31</v>
      </c>
      <c r="P53" s="34" t="s">
        <v>32</v>
      </c>
      <c r="Q53" s="34"/>
      <c r="R53" s="34"/>
      <c r="S53" s="34"/>
      <c r="T53" s="34"/>
      <c r="U53" s="34"/>
      <c r="V53" s="34"/>
      <c r="W53" s="34"/>
      <c r="X53" s="34"/>
      <c r="Y53" s="34"/>
      <c r="Z53" s="34"/>
      <c r="AA53" s="34"/>
      <c r="AB53" s="34"/>
      <c r="AC53" s="34"/>
      <c r="AD53" s="34"/>
      <c r="AE53" s="34"/>
    </row>
    <row r="54" ht="22.5" customHeight="1">
      <c r="A54" s="33">
        <v>2089540.0</v>
      </c>
      <c r="B54" s="34" t="s">
        <v>875</v>
      </c>
      <c r="C54" s="35">
        <v>5.515991123532E12</v>
      </c>
      <c r="D54" s="34" t="s">
        <v>296</v>
      </c>
      <c r="E54" s="36">
        <v>572.97</v>
      </c>
      <c r="F54" s="34"/>
      <c r="G54" s="34"/>
      <c r="H54" s="34" t="s">
        <v>59</v>
      </c>
      <c r="I54" s="34" t="s">
        <v>126</v>
      </c>
      <c r="J54" s="34" t="s">
        <v>32</v>
      </c>
      <c r="K54" s="34" t="s">
        <v>37</v>
      </c>
      <c r="L54" s="34" t="s">
        <v>131</v>
      </c>
      <c r="M54" s="34" t="s">
        <v>32</v>
      </c>
      <c r="N54" s="34"/>
      <c r="O54" s="34"/>
      <c r="P54" s="34"/>
      <c r="Q54" s="34"/>
      <c r="R54" s="34"/>
      <c r="S54" s="34"/>
      <c r="T54" s="34"/>
      <c r="U54" s="34"/>
      <c r="V54" s="34"/>
      <c r="W54" s="34"/>
      <c r="X54" s="34"/>
      <c r="Y54" s="34"/>
      <c r="Z54" s="34"/>
      <c r="AA54" s="34"/>
      <c r="AB54" s="34"/>
      <c r="AC54" s="34"/>
      <c r="AD54" s="34"/>
      <c r="AE54" s="34"/>
    </row>
    <row r="55" ht="22.5" customHeight="1">
      <c r="A55" s="33">
        <v>2089409.0</v>
      </c>
      <c r="B55" s="34" t="s">
        <v>57</v>
      </c>
      <c r="C55" s="35">
        <v>5.515988145756E12</v>
      </c>
      <c r="D55" s="34" t="s">
        <v>58</v>
      </c>
      <c r="E55" s="36">
        <v>6877.92</v>
      </c>
      <c r="F55" s="34"/>
      <c r="G55" s="34"/>
      <c r="H55" s="34" t="s">
        <v>59</v>
      </c>
      <c r="I55" s="34" t="s">
        <v>60</v>
      </c>
      <c r="J55" s="34" t="s">
        <v>61</v>
      </c>
      <c r="K55" s="34" t="s">
        <v>62</v>
      </c>
      <c r="L55" s="34" t="s">
        <v>63</v>
      </c>
      <c r="M55" s="34" t="s">
        <v>32</v>
      </c>
      <c r="N55" s="34" t="s">
        <v>37</v>
      </c>
      <c r="O55" s="34" t="s">
        <v>64</v>
      </c>
      <c r="P55" s="34" t="s">
        <v>61</v>
      </c>
      <c r="Q55" s="34" t="s">
        <v>128</v>
      </c>
      <c r="R55" s="34" t="s">
        <v>31</v>
      </c>
      <c r="S55" s="34" t="s">
        <v>32</v>
      </c>
      <c r="T55" s="34"/>
      <c r="U55" s="34"/>
      <c r="V55" s="34"/>
      <c r="W55" s="34"/>
      <c r="X55" s="34"/>
      <c r="Y55" s="34"/>
      <c r="Z55" s="34"/>
      <c r="AA55" s="34"/>
      <c r="AB55" s="34"/>
      <c r="AC55" s="34"/>
      <c r="AD55" s="34"/>
      <c r="AE55" s="34"/>
    </row>
    <row r="56" ht="22.5" customHeight="1">
      <c r="A56" s="33">
        <v>2089367.0</v>
      </c>
      <c r="B56" s="34" t="s">
        <v>876</v>
      </c>
      <c r="C56" s="35">
        <v>5.515988220716E12</v>
      </c>
      <c r="D56" s="34" t="s">
        <v>40</v>
      </c>
      <c r="E56" s="36">
        <v>3665.23</v>
      </c>
      <c r="F56" s="34"/>
      <c r="G56" s="34"/>
      <c r="H56" s="34" t="s">
        <v>35</v>
      </c>
      <c r="I56" s="34" t="s">
        <v>877</v>
      </c>
      <c r="J56" s="34" t="s">
        <v>56</v>
      </c>
      <c r="K56" s="34" t="s">
        <v>143</v>
      </c>
      <c r="L56" s="34" t="s">
        <v>44</v>
      </c>
      <c r="M56" s="34" t="s">
        <v>32</v>
      </c>
      <c r="N56" s="34" t="s">
        <v>37</v>
      </c>
      <c r="O56" s="34" t="s">
        <v>878</v>
      </c>
      <c r="P56" s="34" t="s">
        <v>56</v>
      </c>
      <c r="Q56" s="34"/>
      <c r="R56" s="34"/>
      <c r="S56" s="34"/>
      <c r="T56" s="34"/>
      <c r="U56" s="34"/>
      <c r="V56" s="34"/>
      <c r="W56" s="34"/>
      <c r="X56" s="34"/>
      <c r="Y56" s="34"/>
      <c r="Z56" s="34"/>
      <c r="AA56" s="34"/>
      <c r="AB56" s="34"/>
      <c r="AC56" s="34"/>
      <c r="AD56" s="34"/>
      <c r="AE56" s="34"/>
    </row>
    <row r="57" ht="22.5" customHeight="1">
      <c r="A57" s="33">
        <v>2087986.0</v>
      </c>
      <c r="B57" s="34" t="s">
        <v>879</v>
      </c>
      <c r="C57" s="35">
        <v>5.515997735692E12</v>
      </c>
      <c r="D57" s="34" t="s">
        <v>68</v>
      </c>
      <c r="E57" s="36">
        <v>2362.14</v>
      </c>
      <c r="F57" s="34"/>
      <c r="G57" s="34"/>
      <c r="H57" s="34" t="s">
        <v>108</v>
      </c>
      <c r="I57" s="34" t="s">
        <v>31</v>
      </c>
      <c r="J57" s="34" t="s">
        <v>32</v>
      </c>
      <c r="K57" s="34" t="s">
        <v>143</v>
      </c>
      <c r="L57" s="34" t="s">
        <v>50</v>
      </c>
      <c r="M57" s="34" t="s">
        <v>32</v>
      </c>
      <c r="N57" s="34" t="s">
        <v>37</v>
      </c>
      <c r="O57" s="34" t="s">
        <v>880</v>
      </c>
      <c r="P57" s="34" t="s">
        <v>56</v>
      </c>
      <c r="Q57" s="34"/>
      <c r="R57" s="34"/>
      <c r="S57" s="34"/>
      <c r="T57" s="34"/>
      <c r="U57" s="34"/>
      <c r="V57" s="34"/>
      <c r="W57" s="34"/>
      <c r="X57" s="34"/>
      <c r="Y57" s="34"/>
      <c r="Z57" s="34"/>
      <c r="AA57" s="34"/>
      <c r="AB57" s="34"/>
      <c r="AC57" s="34"/>
      <c r="AD57" s="34"/>
      <c r="AE57" s="34"/>
    </row>
    <row r="58" ht="22.5" customHeight="1">
      <c r="A58" s="33">
        <v>2106934.0</v>
      </c>
      <c r="B58" s="34" t="s">
        <v>881</v>
      </c>
      <c r="C58" s="35">
        <v>5.511984658225E12</v>
      </c>
      <c r="D58" s="34" t="s">
        <v>40</v>
      </c>
      <c r="E58" s="36">
        <v>19195.52</v>
      </c>
      <c r="F58" s="34"/>
      <c r="G58" s="34"/>
      <c r="H58" s="34" t="s">
        <v>150</v>
      </c>
      <c r="I58" s="34" t="s">
        <v>31</v>
      </c>
      <c r="J58" s="34" t="s">
        <v>32</v>
      </c>
      <c r="K58" s="34" t="s">
        <v>33</v>
      </c>
      <c r="L58" s="34" t="s">
        <v>882</v>
      </c>
      <c r="M58" s="34" t="s">
        <v>46</v>
      </c>
      <c r="N58" s="34" t="s">
        <v>62</v>
      </c>
      <c r="O58" s="34" t="s">
        <v>285</v>
      </c>
      <c r="P58" s="34" t="s">
        <v>56</v>
      </c>
      <c r="Q58" s="34" t="s">
        <v>35</v>
      </c>
      <c r="R58" s="34" t="s">
        <v>883</v>
      </c>
      <c r="S58" s="34" t="s">
        <v>70</v>
      </c>
      <c r="T58" s="34" t="s">
        <v>123</v>
      </c>
      <c r="U58" s="34" t="s">
        <v>44</v>
      </c>
      <c r="V58" s="34" t="s">
        <v>32</v>
      </c>
      <c r="W58" s="34"/>
      <c r="X58" s="34"/>
      <c r="Y58" s="34"/>
      <c r="Z58" s="34"/>
      <c r="AA58" s="34"/>
      <c r="AB58" s="34"/>
      <c r="AC58" s="34"/>
      <c r="AD58" s="34"/>
      <c r="AE58" s="34"/>
    </row>
    <row r="59" ht="22.5" customHeight="1">
      <c r="A59" s="33">
        <v>2106766.0</v>
      </c>
      <c r="B59" s="34" t="s">
        <v>884</v>
      </c>
      <c r="C59" s="35">
        <v>5.51598129034E12</v>
      </c>
      <c r="D59" s="34" t="s">
        <v>40</v>
      </c>
      <c r="E59" s="36">
        <v>1065.53</v>
      </c>
      <c r="F59" s="34"/>
      <c r="G59" s="34"/>
      <c r="H59" s="34" t="s">
        <v>132</v>
      </c>
      <c r="I59" s="34" t="s">
        <v>92</v>
      </c>
      <c r="J59" s="34" t="s">
        <v>32</v>
      </c>
      <c r="K59" s="34" t="s">
        <v>37</v>
      </c>
      <c r="L59" s="34" t="s">
        <v>92</v>
      </c>
      <c r="M59" s="34" t="s">
        <v>32</v>
      </c>
      <c r="N59" s="34"/>
      <c r="O59" s="34"/>
      <c r="P59" s="34"/>
      <c r="Q59" s="34"/>
      <c r="R59" s="34"/>
      <c r="S59" s="34"/>
      <c r="T59" s="34"/>
      <c r="U59" s="34"/>
      <c r="V59" s="34"/>
      <c r="W59" s="34"/>
      <c r="X59" s="34"/>
      <c r="Y59" s="34"/>
      <c r="Z59" s="34"/>
      <c r="AA59" s="34"/>
      <c r="AB59" s="34"/>
      <c r="AC59" s="34"/>
      <c r="AD59" s="34"/>
      <c r="AE59" s="34"/>
    </row>
    <row r="60" ht="22.5" customHeight="1">
      <c r="A60" s="33">
        <v>2106588.0</v>
      </c>
      <c r="B60" s="34" t="s">
        <v>885</v>
      </c>
      <c r="C60" s="35">
        <v>5.515991587887E12</v>
      </c>
      <c r="D60" s="34" t="s">
        <v>58</v>
      </c>
      <c r="E60" s="36">
        <v>2866.19</v>
      </c>
      <c r="F60" s="34"/>
      <c r="G60" s="34"/>
      <c r="H60" s="34" t="s">
        <v>150</v>
      </c>
      <c r="I60" s="34" t="s">
        <v>31</v>
      </c>
      <c r="J60" s="34" t="s">
        <v>32</v>
      </c>
      <c r="K60" s="34" t="s">
        <v>116</v>
      </c>
      <c r="L60" s="34" t="s">
        <v>185</v>
      </c>
      <c r="M60" s="34" t="s">
        <v>186</v>
      </c>
      <c r="N60" s="34"/>
      <c r="O60" s="34"/>
      <c r="P60" s="34"/>
      <c r="Q60" s="34"/>
      <c r="R60" s="34"/>
      <c r="S60" s="34"/>
      <c r="T60" s="34"/>
      <c r="U60" s="34"/>
      <c r="V60" s="34"/>
      <c r="W60" s="34"/>
      <c r="X60" s="34"/>
      <c r="Y60" s="34"/>
      <c r="Z60" s="34"/>
      <c r="AA60" s="34"/>
      <c r="AB60" s="34"/>
      <c r="AC60" s="34"/>
      <c r="AD60" s="34"/>
      <c r="AE60" s="34"/>
    </row>
    <row r="61" ht="22.5" customHeight="1">
      <c r="A61" s="33">
        <v>2106303.0</v>
      </c>
      <c r="B61" s="34" t="s">
        <v>886</v>
      </c>
      <c r="C61" s="35">
        <v>5.515997214063E12</v>
      </c>
      <c r="D61" s="34" t="s">
        <v>68</v>
      </c>
      <c r="E61" s="36">
        <v>5372.8</v>
      </c>
      <c r="F61" s="34"/>
      <c r="G61" s="34"/>
      <c r="H61" s="34" t="s">
        <v>150</v>
      </c>
      <c r="I61" s="34" t="s">
        <v>31</v>
      </c>
      <c r="J61" s="34" t="s">
        <v>32</v>
      </c>
      <c r="K61" s="34" t="s">
        <v>130</v>
      </c>
      <c r="L61" s="34" t="s">
        <v>92</v>
      </c>
      <c r="M61" s="34" t="s">
        <v>32</v>
      </c>
      <c r="N61" s="34" t="s">
        <v>33</v>
      </c>
      <c r="O61" s="34" t="s">
        <v>74</v>
      </c>
      <c r="P61" s="34" t="s">
        <v>32</v>
      </c>
      <c r="Q61" s="34" t="s">
        <v>35</v>
      </c>
      <c r="R61" s="34" t="s">
        <v>74</v>
      </c>
      <c r="S61" s="34" t="s">
        <v>32</v>
      </c>
      <c r="T61" s="34" t="s">
        <v>133</v>
      </c>
      <c r="U61" s="34" t="s">
        <v>92</v>
      </c>
      <c r="V61" s="34" t="s">
        <v>32</v>
      </c>
      <c r="W61" s="34" t="s">
        <v>108</v>
      </c>
      <c r="X61" s="34" t="s">
        <v>31</v>
      </c>
      <c r="Y61" s="34" t="s">
        <v>56</v>
      </c>
      <c r="Z61" s="34" t="s">
        <v>222</v>
      </c>
      <c r="AA61" s="34" t="s">
        <v>92</v>
      </c>
      <c r="AB61" s="34" t="s">
        <v>32</v>
      </c>
      <c r="AC61" s="34"/>
      <c r="AD61" s="34"/>
      <c r="AE61" s="34"/>
    </row>
    <row r="62" ht="22.5" customHeight="1">
      <c r="A62" s="33">
        <v>2105530.0</v>
      </c>
      <c r="B62" s="34" t="s">
        <v>887</v>
      </c>
      <c r="C62" s="35">
        <v>5.515997501041E12</v>
      </c>
      <c r="D62" s="34" t="s">
        <v>89</v>
      </c>
      <c r="E62" s="36">
        <v>4331.36</v>
      </c>
      <c r="F62" s="34"/>
      <c r="G62" s="34"/>
      <c r="H62" s="34" t="s">
        <v>150</v>
      </c>
      <c r="I62" s="34" t="s">
        <v>31</v>
      </c>
      <c r="J62" s="34" t="s">
        <v>32</v>
      </c>
      <c r="K62" s="34" t="s">
        <v>83</v>
      </c>
      <c r="L62" s="34" t="s">
        <v>371</v>
      </c>
      <c r="M62" s="34" t="s">
        <v>56</v>
      </c>
      <c r="N62" s="34" t="s">
        <v>91</v>
      </c>
      <c r="O62" s="34" t="s">
        <v>140</v>
      </c>
      <c r="P62" s="34" t="s">
        <v>32</v>
      </c>
      <c r="Q62" s="34" t="s">
        <v>108</v>
      </c>
      <c r="R62" s="34" t="s">
        <v>31</v>
      </c>
      <c r="S62" s="34" t="s">
        <v>56</v>
      </c>
      <c r="T62" s="34" t="s">
        <v>222</v>
      </c>
      <c r="U62" s="34" t="s">
        <v>371</v>
      </c>
      <c r="V62" s="34" t="s">
        <v>56</v>
      </c>
      <c r="W62" s="34" t="s">
        <v>37</v>
      </c>
      <c r="X62" s="34" t="s">
        <v>888</v>
      </c>
      <c r="Y62" s="34" t="s">
        <v>61</v>
      </c>
      <c r="Z62" s="34"/>
      <c r="AA62" s="34"/>
      <c r="AB62" s="34"/>
      <c r="AC62" s="34"/>
      <c r="AD62" s="34"/>
      <c r="AE62" s="34"/>
    </row>
    <row r="63" ht="22.5" customHeight="1">
      <c r="A63" s="33">
        <v>2105131.0</v>
      </c>
      <c r="B63" s="34" t="s">
        <v>889</v>
      </c>
      <c r="C63" s="35">
        <v>5.515996360869E12</v>
      </c>
      <c r="D63" s="34" t="s">
        <v>89</v>
      </c>
      <c r="E63" s="36">
        <v>6918.79</v>
      </c>
      <c r="F63" s="34"/>
      <c r="G63" s="34"/>
      <c r="H63" s="34" t="s">
        <v>150</v>
      </c>
      <c r="I63" s="34" t="s">
        <v>31</v>
      </c>
      <c r="J63" s="34" t="s">
        <v>32</v>
      </c>
      <c r="K63" s="34" t="s">
        <v>218</v>
      </c>
      <c r="L63" s="34" t="s">
        <v>31</v>
      </c>
      <c r="M63" s="34" t="s">
        <v>32</v>
      </c>
      <c r="N63" s="34" t="s">
        <v>277</v>
      </c>
      <c r="O63" s="34" t="s">
        <v>50</v>
      </c>
      <c r="P63" s="34" t="s">
        <v>32</v>
      </c>
      <c r="Q63" s="34"/>
      <c r="R63" s="34"/>
      <c r="S63" s="34"/>
      <c r="T63" s="34"/>
      <c r="U63" s="34"/>
      <c r="V63" s="34"/>
      <c r="W63" s="34"/>
      <c r="X63" s="34"/>
      <c r="Y63" s="34"/>
      <c r="Z63" s="34"/>
      <c r="AA63" s="34"/>
      <c r="AB63" s="34"/>
      <c r="AC63" s="34"/>
      <c r="AD63" s="34"/>
      <c r="AE63" s="34"/>
    </row>
    <row r="64" ht="22.5" customHeight="1">
      <c r="A64" s="33">
        <v>2104929.0</v>
      </c>
      <c r="B64" s="34" t="s">
        <v>96</v>
      </c>
      <c r="C64" s="35">
        <v>5.515996088613E12</v>
      </c>
      <c r="D64" s="34" t="s">
        <v>360</v>
      </c>
      <c r="E64" s="36">
        <v>629.09</v>
      </c>
      <c r="F64" s="34"/>
      <c r="G64" s="34"/>
      <c r="H64" s="34" t="s">
        <v>66</v>
      </c>
      <c r="I64" s="34" t="s">
        <v>31</v>
      </c>
      <c r="J64" s="34" t="s">
        <v>32</v>
      </c>
      <c r="K64" s="34"/>
      <c r="L64" s="34"/>
      <c r="M64" s="34"/>
      <c r="N64" s="34"/>
      <c r="O64" s="34"/>
      <c r="P64" s="34"/>
      <c r="Q64" s="34"/>
      <c r="R64" s="34"/>
      <c r="S64" s="34"/>
      <c r="T64" s="34"/>
      <c r="U64" s="34"/>
      <c r="V64" s="34"/>
      <c r="W64" s="34"/>
      <c r="X64" s="34"/>
      <c r="Y64" s="34"/>
      <c r="Z64" s="34"/>
      <c r="AA64" s="34"/>
      <c r="AB64" s="34"/>
      <c r="AC64" s="34"/>
      <c r="AD64" s="34"/>
      <c r="AE64" s="34"/>
    </row>
    <row r="65" ht="22.5" customHeight="1">
      <c r="A65" s="33">
        <v>2104142.0</v>
      </c>
      <c r="B65" s="34" t="s">
        <v>890</v>
      </c>
      <c r="C65" s="35">
        <v>5.51599112434E12</v>
      </c>
      <c r="D65" s="34" t="s">
        <v>857</v>
      </c>
      <c r="E65" s="36">
        <v>1818.76</v>
      </c>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row>
    <row r="66" ht="22.5" customHeight="1">
      <c r="A66" s="33">
        <v>2103351.0</v>
      </c>
      <c r="B66" s="34" t="s">
        <v>891</v>
      </c>
      <c r="C66" s="35">
        <v>5.515991351119E12</v>
      </c>
      <c r="D66" s="34" t="s">
        <v>29</v>
      </c>
      <c r="E66" s="36">
        <v>4088.7</v>
      </c>
      <c r="F66" s="34"/>
      <c r="G66" s="34"/>
      <c r="H66" s="34" t="s">
        <v>150</v>
      </c>
      <c r="I66" s="34" t="s">
        <v>31</v>
      </c>
      <c r="J66" s="34" t="s">
        <v>32</v>
      </c>
      <c r="K66" s="34" t="s">
        <v>91</v>
      </c>
      <c r="L66" s="34" t="s">
        <v>568</v>
      </c>
      <c r="M66" s="34" t="s">
        <v>56</v>
      </c>
      <c r="N66" s="34" t="s">
        <v>62</v>
      </c>
      <c r="O66" s="34" t="s">
        <v>259</v>
      </c>
      <c r="P66" s="34" t="s">
        <v>56</v>
      </c>
      <c r="Q66" s="34" t="s">
        <v>108</v>
      </c>
      <c r="R66" s="34" t="s">
        <v>31</v>
      </c>
      <c r="S66" s="34" t="s">
        <v>32</v>
      </c>
      <c r="T66" s="34" t="s">
        <v>143</v>
      </c>
      <c r="U66" s="34" t="s">
        <v>135</v>
      </c>
      <c r="V66" s="34" t="s">
        <v>56</v>
      </c>
      <c r="W66" s="34"/>
      <c r="X66" s="34"/>
      <c r="Y66" s="34"/>
      <c r="Z66" s="34"/>
      <c r="AA66" s="34"/>
      <c r="AB66" s="34"/>
      <c r="AC66" s="34"/>
      <c r="AD66" s="34"/>
      <c r="AE66" s="34"/>
    </row>
    <row r="67" ht="22.5" customHeight="1">
      <c r="A67" s="33">
        <v>2103336.0</v>
      </c>
      <c r="B67" s="34" t="s">
        <v>892</v>
      </c>
      <c r="C67" s="35">
        <v>1.599135119E9</v>
      </c>
      <c r="D67" s="34" t="s">
        <v>29</v>
      </c>
      <c r="E67" s="36">
        <v>2628.9</v>
      </c>
      <c r="F67" s="34"/>
      <c r="G67" s="34"/>
      <c r="H67" s="34" t="s">
        <v>150</v>
      </c>
      <c r="I67" s="34" t="s">
        <v>31</v>
      </c>
      <c r="J67" s="34" t="s">
        <v>32</v>
      </c>
      <c r="K67" s="34" t="s">
        <v>62</v>
      </c>
      <c r="L67" s="34" t="s">
        <v>199</v>
      </c>
      <c r="M67" s="34" t="s">
        <v>32</v>
      </c>
      <c r="N67" s="34" t="s">
        <v>108</v>
      </c>
      <c r="O67" s="34" t="s">
        <v>31</v>
      </c>
      <c r="P67" s="34" t="s">
        <v>32</v>
      </c>
      <c r="Q67" s="34" t="s">
        <v>143</v>
      </c>
      <c r="R67" s="34" t="s">
        <v>44</v>
      </c>
      <c r="S67" s="34" t="s">
        <v>32</v>
      </c>
      <c r="T67" s="34" t="s">
        <v>222</v>
      </c>
      <c r="U67" s="34" t="s">
        <v>199</v>
      </c>
      <c r="V67" s="34" t="s">
        <v>32</v>
      </c>
      <c r="W67" s="34" t="s">
        <v>37</v>
      </c>
      <c r="X67" s="34" t="s">
        <v>893</v>
      </c>
      <c r="Y67" s="34" t="s">
        <v>56</v>
      </c>
      <c r="Z67" s="34"/>
      <c r="AA67" s="34"/>
      <c r="AB67" s="34"/>
      <c r="AC67" s="34"/>
      <c r="AD67" s="34"/>
      <c r="AE67" s="34"/>
    </row>
    <row r="68" ht="22.5" customHeight="1">
      <c r="A68" s="33">
        <v>2103298.0</v>
      </c>
      <c r="B68" s="34" t="s">
        <v>894</v>
      </c>
      <c r="C68" s="35">
        <v>5.515991585763E12</v>
      </c>
      <c r="D68" s="34" t="s">
        <v>296</v>
      </c>
      <c r="E68" s="36">
        <v>4690.6</v>
      </c>
      <c r="F68" s="34"/>
      <c r="G68" s="34"/>
      <c r="H68" s="34" t="s">
        <v>150</v>
      </c>
      <c r="I68" s="34" t="s">
        <v>31</v>
      </c>
      <c r="J68" s="34" t="s">
        <v>32</v>
      </c>
      <c r="K68" s="34" t="s">
        <v>41</v>
      </c>
      <c r="L68" s="34" t="s">
        <v>31</v>
      </c>
      <c r="M68" s="34" t="s">
        <v>32</v>
      </c>
      <c r="N68" s="34"/>
      <c r="O68" s="34"/>
      <c r="P68" s="34"/>
      <c r="Q68" s="34"/>
      <c r="R68" s="34"/>
      <c r="S68" s="34"/>
      <c r="T68" s="34"/>
      <c r="U68" s="34"/>
      <c r="V68" s="34"/>
      <c r="W68" s="34"/>
      <c r="X68" s="34"/>
      <c r="Y68" s="34"/>
      <c r="Z68" s="34"/>
      <c r="AA68" s="34"/>
      <c r="AB68" s="34"/>
      <c r="AC68" s="34"/>
      <c r="AD68" s="34"/>
      <c r="AE68" s="34"/>
    </row>
    <row r="69" ht="22.5" customHeight="1">
      <c r="A69" s="33">
        <v>2103251.0</v>
      </c>
      <c r="B69" s="34" t="s">
        <v>895</v>
      </c>
      <c r="C69" s="35">
        <v>5.515996872021E12</v>
      </c>
      <c r="D69" s="34" t="s">
        <v>296</v>
      </c>
      <c r="E69" s="36">
        <v>1063.36</v>
      </c>
      <c r="F69" s="34"/>
      <c r="G69" s="34"/>
      <c r="H69" s="34" t="s">
        <v>150</v>
      </c>
      <c r="I69" s="34" t="s">
        <v>31</v>
      </c>
      <c r="J69" s="34" t="s">
        <v>32</v>
      </c>
      <c r="K69" s="34" t="s">
        <v>59</v>
      </c>
      <c r="L69" s="34" t="s">
        <v>163</v>
      </c>
      <c r="M69" s="34" t="s">
        <v>56</v>
      </c>
      <c r="N69" s="34" t="s">
        <v>108</v>
      </c>
      <c r="O69" s="34" t="s">
        <v>31</v>
      </c>
      <c r="P69" s="34" t="s">
        <v>32</v>
      </c>
      <c r="Q69" s="34"/>
      <c r="R69" s="34"/>
      <c r="S69" s="34"/>
      <c r="T69" s="34"/>
      <c r="U69" s="34"/>
      <c r="V69" s="34"/>
      <c r="W69" s="34"/>
      <c r="X69" s="34"/>
      <c r="Y69" s="34"/>
      <c r="Z69" s="34"/>
      <c r="AA69" s="34"/>
      <c r="AB69" s="34"/>
      <c r="AC69" s="34"/>
      <c r="AD69" s="34"/>
      <c r="AE69" s="34"/>
    </row>
    <row r="70" ht="22.5" customHeight="1">
      <c r="A70" s="33">
        <v>2102483.0</v>
      </c>
      <c r="B70" s="34" t="s">
        <v>896</v>
      </c>
      <c r="C70" s="35">
        <v>5.515981176677E12</v>
      </c>
      <c r="D70" s="34" t="s">
        <v>40</v>
      </c>
      <c r="E70" s="36">
        <v>1700.24</v>
      </c>
      <c r="F70" s="34"/>
      <c r="G70" s="34"/>
      <c r="H70" s="34" t="s">
        <v>33</v>
      </c>
      <c r="I70" s="34" t="s">
        <v>291</v>
      </c>
      <c r="J70" s="34" t="s">
        <v>32</v>
      </c>
      <c r="K70" s="34" t="s">
        <v>62</v>
      </c>
      <c r="L70" s="34" t="s">
        <v>291</v>
      </c>
      <c r="M70" s="34" t="s">
        <v>32</v>
      </c>
      <c r="N70" s="34" t="s">
        <v>35</v>
      </c>
      <c r="O70" s="34" t="s">
        <v>291</v>
      </c>
      <c r="P70" s="34" t="s">
        <v>32</v>
      </c>
      <c r="Q70" s="34"/>
      <c r="R70" s="34"/>
      <c r="S70" s="34"/>
      <c r="T70" s="34"/>
      <c r="U70" s="34"/>
      <c r="V70" s="34"/>
      <c r="W70" s="34"/>
      <c r="X70" s="34"/>
      <c r="Y70" s="34"/>
      <c r="Z70" s="34"/>
      <c r="AA70" s="34"/>
      <c r="AB70" s="34"/>
      <c r="AC70" s="34"/>
      <c r="AD70" s="34"/>
      <c r="AE70" s="34"/>
    </row>
    <row r="71" ht="22.5" customHeight="1">
      <c r="A71" s="33">
        <v>2102474.0</v>
      </c>
      <c r="B71" s="34" t="s">
        <v>897</v>
      </c>
      <c r="C71" s="35">
        <v>5.515981176677E12</v>
      </c>
      <c r="D71" s="34" t="s">
        <v>40</v>
      </c>
      <c r="E71" s="36">
        <v>1700.55</v>
      </c>
      <c r="F71" s="34"/>
      <c r="G71" s="34"/>
      <c r="H71" s="34" t="s">
        <v>33</v>
      </c>
      <c r="I71" s="34" t="s">
        <v>291</v>
      </c>
      <c r="J71" s="34" t="s">
        <v>32</v>
      </c>
      <c r="K71" s="34" t="s">
        <v>62</v>
      </c>
      <c r="L71" s="34" t="s">
        <v>291</v>
      </c>
      <c r="M71" s="34" t="s">
        <v>32</v>
      </c>
      <c r="N71" s="34" t="s">
        <v>35</v>
      </c>
      <c r="O71" s="34" t="s">
        <v>291</v>
      </c>
      <c r="P71" s="34" t="s">
        <v>32</v>
      </c>
      <c r="Q71" s="34"/>
      <c r="R71" s="34"/>
      <c r="S71" s="34"/>
      <c r="T71" s="34"/>
      <c r="U71" s="34"/>
      <c r="V71" s="34"/>
      <c r="W71" s="34"/>
      <c r="X71" s="34"/>
      <c r="Y71" s="34"/>
      <c r="Z71" s="34"/>
      <c r="AA71" s="34"/>
      <c r="AB71" s="34"/>
      <c r="AC71" s="34"/>
      <c r="AD71" s="34"/>
      <c r="AE71" s="34"/>
    </row>
    <row r="72" ht="22.5" customHeight="1">
      <c r="A72" s="33">
        <v>2101419.0</v>
      </c>
      <c r="B72" s="34" t="s">
        <v>898</v>
      </c>
      <c r="C72" s="35">
        <v>5.515981182484E12</v>
      </c>
      <c r="D72" s="34" t="s">
        <v>68</v>
      </c>
      <c r="E72" s="36">
        <v>1439.01</v>
      </c>
      <c r="F72" s="34"/>
      <c r="G72" s="34"/>
      <c r="H72" s="34" t="s">
        <v>150</v>
      </c>
      <c r="I72" s="34" t="s">
        <v>31</v>
      </c>
      <c r="J72" s="34" t="s">
        <v>32</v>
      </c>
      <c r="K72" s="34" t="s">
        <v>91</v>
      </c>
      <c r="L72" s="34" t="s">
        <v>899</v>
      </c>
      <c r="M72" s="34" t="s">
        <v>61</v>
      </c>
      <c r="N72" s="34" t="s">
        <v>108</v>
      </c>
      <c r="O72" s="34" t="s">
        <v>31</v>
      </c>
      <c r="P72" s="34" t="s">
        <v>32</v>
      </c>
      <c r="Q72" s="34" t="s">
        <v>222</v>
      </c>
      <c r="R72" s="34" t="s">
        <v>139</v>
      </c>
      <c r="S72" s="34" t="s">
        <v>32</v>
      </c>
      <c r="T72" s="34"/>
      <c r="U72" s="34"/>
      <c r="V72" s="34"/>
      <c r="W72" s="34"/>
      <c r="X72" s="34"/>
      <c r="Y72" s="34"/>
      <c r="Z72" s="34"/>
      <c r="AA72" s="34"/>
      <c r="AB72" s="34"/>
      <c r="AC72" s="34"/>
      <c r="AD72" s="34"/>
      <c r="AE72" s="34"/>
    </row>
    <row r="73" ht="22.5" customHeight="1">
      <c r="A73" s="33">
        <v>2101330.0</v>
      </c>
      <c r="B73" s="34" t="s">
        <v>900</v>
      </c>
      <c r="C73" s="35">
        <v>5.515997055519E12</v>
      </c>
      <c r="D73" s="34" t="s">
        <v>40</v>
      </c>
      <c r="E73" s="36">
        <v>2019.33</v>
      </c>
      <c r="F73" s="34"/>
      <c r="G73" s="34"/>
      <c r="H73" s="34" t="s">
        <v>150</v>
      </c>
      <c r="I73" s="34" t="s">
        <v>31</v>
      </c>
      <c r="J73" s="34" t="s">
        <v>32</v>
      </c>
      <c r="K73" s="34" t="s">
        <v>361</v>
      </c>
      <c r="L73" s="34" t="s">
        <v>131</v>
      </c>
      <c r="M73" s="34" t="s">
        <v>32</v>
      </c>
      <c r="N73" s="34" t="s">
        <v>108</v>
      </c>
      <c r="O73" s="34" t="s">
        <v>31</v>
      </c>
      <c r="P73" s="34" t="s">
        <v>32</v>
      </c>
      <c r="Q73" s="34" t="s">
        <v>37</v>
      </c>
      <c r="R73" s="34" t="s">
        <v>901</v>
      </c>
      <c r="S73" s="34" t="s">
        <v>170</v>
      </c>
      <c r="T73" s="34"/>
      <c r="U73" s="34"/>
      <c r="V73" s="34"/>
      <c r="W73" s="34"/>
      <c r="X73" s="34"/>
      <c r="Y73" s="34"/>
      <c r="Z73" s="34"/>
      <c r="AA73" s="34"/>
      <c r="AB73" s="34"/>
      <c r="AC73" s="34"/>
      <c r="AD73" s="34"/>
      <c r="AE73" s="34"/>
    </row>
    <row r="74" ht="22.5" customHeight="1">
      <c r="A74" s="33">
        <v>2101319.0</v>
      </c>
      <c r="B74" s="34" t="s">
        <v>902</v>
      </c>
      <c r="C74" s="35">
        <v>5.51599660506E12</v>
      </c>
      <c r="D74" s="34" t="s">
        <v>40</v>
      </c>
      <c r="E74" s="36">
        <v>3025.62</v>
      </c>
      <c r="F74" s="34"/>
      <c r="G74" s="34"/>
      <c r="H74" s="34" t="s">
        <v>150</v>
      </c>
      <c r="I74" s="34" t="s">
        <v>31</v>
      </c>
      <c r="J74" s="34" t="s">
        <v>32</v>
      </c>
      <c r="K74" s="34" t="s">
        <v>361</v>
      </c>
      <c r="L74" s="34" t="s">
        <v>92</v>
      </c>
      <c r="M74" s="34" t="s">
        <v>32</v>
      </c>
      <c r="N74" s="34" t="s">
        <v>36</v>
      </c>
      <c r="O74" s="34" t="s">
        <v>31</v>
      </c>
      <c r="P74" s="34" t="s">
        <v>32</v>
      </c>
      <c r="Q74" s="34" t="s">
        <v>37</v>
      </c>
      <c r="R74" s="34" t="s">
        <v>903</v>
      </c>
      <c r="S74" s="34" t="s">
        <v>770</v>
      </c>
      <c r="T74" s="34"/>
      <c r="U74" s="34"/>
      <c r="V74" s="34"/>
      <c r="W74" s="34"/>
      <c r="X74" s="34"/>
      <c r="Y74" s="34"/>
      <c r="Z74" s="34"/>
      <c r="AA74" s="34"/>
      <c r="AB74" s="34"/>
      <c r="AC74" s="34"/>
      <c r="AD74" s="34"/>
      <c r="AE74" s="34"/>
    </row>
    <row r="75" ht="22.5" customHeight="1">
      <c r="A75" s="33">
        <v>2101072.0</v>
      </c>
      <c r="B75" s="34" t="s">
        <v>904</v>
      </c>
      <c r="C75" s="35">
        <v>5.515988007413E12</v>
      </c>
      <c r="D75" s="34" t="s">
        <v>857</v>
      </c>
      <c r="E75" s="36">
        <v>31058.03</v>
      </c>
      <c r="F75" s="34"/>
      <c r="G75" s="34"/>
      <c r="H75" s="34" t="s">
        <v>150</v>
      </c>
      <c r="I75" s="34" t="s">
        <v>31</v>
      </c>
      <c r="J75" s="34" t="s">
        <v>32</v>
      </c>
      <c r="K75" s="34" t="s">
        <v>35</v>
      </c>
      <c r="L75" s="34" t="s">
        <v>905</v>
      </c>
      <c r="M75" s="34" t="s">
        <v>271</v>
      </c>
      <c r="N75" s="34" t="s">
        <v>78</v>
      </c>
      <c r="O75" s="34" t="s">
        <v>135</v>
      </c>
      <c r="P75" s="34" t="s">
        <v>56</v>
      </c>
      <c r="Q75" s="34"/>
      <c r="R75" s="34"/>
      <c r="S75" s="34"/>
      <c r="T75" s="34"/>
      <c r="U75" s="34"/>
      <c r="V75" s="34"/>
      <c r="W75" s="34"/>
      <c r="X75" s="34"/>
      <c r="Y75" s="34"/>
      <c r="Z75" s="34"/>
      <c r="AA75" s="34"/>
      <c r="AB75" s="34"/>
      <c r="AC75" s="34"/>
      <c r="AD75" s="34"/>
      <c r="AE75" s="34"/>
    </row>
    <row r="76" ht="22.5" customHeight="1">
      <c r="A76" s="33">
        <v>2100747.0</v>
      </c>
      <c r="B76" s="34" t="s">
        <v>906</v>
      </c>
      <c r="C76" s="35">
        <v>5.515981886124E12</v>
      </c>
      <c r="D76" s="34" t="s">
        <v>360</v>
      </c>
      <c r="E76" s="36">
        <v>960.3</v>
      </c>
      <c r="F76" s="34"/>
      <c r="G76" s="34"/>
      <c r="H76" s="34" t="s">
        <v>150</v>
      </c>
      <c r="I76" s="34" t="s">
        <v>31</v>
      </c>
      <c r="J76" s="34" t="s">
        <v>32</v>
      </c>
      <c r="K76" s="34" t="s">
        <v>361</v>
      </c>
      <c r="L76" s="34" t="s">
        <v>74</v>
      </c>
      <c r="M76" s="34" t="s">
        <v>32</v>
      </c>
      <c r="N76" s="34"/>
      <c r="O76" s="34"/>
      <c r="P76" s="34"/>
      <c r="Q76" s="34"/>
      <c r="R76" s="34"/>
      <c r="S76" s="34"/>
      <c r="T76" s="34"/>
      <c r="U76" s="34"/>
      <c r="V76" s="34"/>
      <c r="W76" s="34"/>
      <c r="X76" s="34"/>
      <c r="Y76" s="34"/>
      <c r="Z76" s="34"/>
      <c r="AA76" s="34"/>
      <c r="AB76" s="34"/>
      <c r="AC76" s="34"/>
      <c r="AD76" s="34"/>
      <c r="AE76" s="34"/>
    </row>
    <row r="77" ht="22.5" customHeight="1">
      <c r="A77" s="33">
        <v>2100531.0</v>
      </c>
      <c r="B77" s="34" t="s">
        <v>907</v>
      </c>
      <c r="C77" s="35">
        <v>5.515998218294E12</v>
      </c>
      <c r="D77" s="34" t="s">
        <v>360</v>
      </c>
      <c r="E77" s="36">
        <v>1418.99</v>
      </c>
      <c r="F77" s="34"/>
      <c r="G77" s="34"/>
      <c r="H77" s="34" t="s">
        <v>150</v>
      </c>
      <c r="I77" s="34" t="s">
        <v>31</v>
      </c>
      <c r="J77" s="34" t="s">
        <v>32</v>
      </c>
      <c r="K77" s="34" t="s">
        <v>132</v>
      </c>
      <c r="L77" s="34" t="s">
        <v>131</v>
      </c>
      <c r="M77" s="34" t="s">
        <v>32</v>
      </c>
      <c r="N77" s="34" t="s">
        <v>108</v>
      </c>
      <c r="O77" s="34" t="s">
        <v>31</v>
      </c>
      <c r="P77" s="34" t="s">
        <v>32</v>
      </c>
      <c r="Q77" s="34" t="s">
        <v>37</v>
      </c>
      <c r="R77" s="34" t="s">
        <v>131</v>
      </c>
      <c r="S77" s="34" t="s">
        <v>32</v>
      </c>
      <c r="T77" s="34"/>
      <c r="U77" s="34"/>
      <c r="V77" s="34"/>
      <c r="W77" s="34"/>
      <c r="X77" s="34"/>
      <c r="Y77" s="34"/>
      <c r="Z77" s="34"/>
      <c r="AA77" s="34"/>
      <c r="AB77" s="34"/>
      <c r="AC77" s="34"/>
      <c r="AD77" s="34"/>
      <c r="AE77" s="34"/>
    </row>
    <row r="78" ht="22.5" customHeight="1">
      <c r="A78" s="33">
        <v>2100438.0</v>
      </c>
      <c r="B78" s="34" t="s">
        <v>908</v>
      </c>
      <c r="C78" s="35">
        <v>5.515997956522E12</v>
      </c>
      <c r="D78" s="34" t="s">
        <v>360</v>
      </c>
      <c r="E78" s="36">
        <v>545.12</v>
      </c>
      <c r="F78" s="34"/>
      <c r="G78" s="34"/>
      <c r="H78" s="34" t="s">
        <v>150</v>
      </c>
      <c r="I78" s="34" t="s">
        <v>31</v>
      </c>
      <c r="J78" s="34" t="s">
        <v>32</v>
      </c>
      <c r="K78" s="34" t="s">
        <v>59</v>
      </c>
      <c r="L78" s="34" t="s">
        <v>126</v>
      </c>
      <c r="M78" s="34" t="s">
        <v>32</v>
      </c>
      <c r="N78" s="34" t="s">
        <v>62</v>
      </c>
      <c r="O78" s="34" t="s">
        <v>63</v>
      </c>
      <c r="P78" s="34" t="s">
        <v>32</v>
      </c>
      <c r="Q78" s="34"/>
      <c r="R78" s="34"/>
      <c r="S78" s="34"/>
      <c r="T78" s="34"/>
      <c r="U78" s="34"/>
      <c r="V78" s="34"/>
      <c r="W78" s="34"/>
      <c r="X78" s="34"/>
      <c r="Y78" s="34"/>
      <c r="Z78" s="34"/>
      <c r="AA78" s="34"/>
      <c r="AB78" s="34"/>
      <c r="AC78" s="34"/>
      <c r="AD78" s="34"/>
      <c r="AE78" s="34"/>
    </row>
    <row r="79" ht="22.5" customHeight="1">
      <c r="A79" s="33">
        <v>2099848.0</v>
      </c>
      <c r="B79" s="34" t="s">
        <v>909</v>
      </c>
      <c r="C79" s="35">
        <v>5.515988336875E12</v>
      </c>
      <c r="D79" s="34" t="s">
        <v>677</v>
      </c>
      <c r="E79" s="36">
        <v>473.12</v>
      </c>
      <c r="F79" s="34"/>
      <c r="G79" s="34"/>
      <c r="H79" s="34" t="s">
        <v>150</v>
      </c>
      <c r="I79" s="34" t="s">
        <v>31</v>
      </c>
      <c r="J79" s="34" t="s">
        <v>32</v>
      </c>
      <c r="K79" s="34" t="s">
        <v>37</v>
      </c>
      <c r="L79" s="34" t="s">
        <v>910</v>
      </c>
      <c r="M79" s="34" t="s">
        <v>61</v>
      </c>
      <c r="N79" s="34"/>
      <c r="O79" s="34"/>
      <c r="P79" s="34"/>
      <c r="Q79" s="34"/>
      <c r="R79" s="34"/>
      <c r="S79" s="34"/>
      <c r="T79" s="34"/>
      <c r="U79" s="34"/>
      <c r="V79" s="34"/>
      <c r="W79" s="34"/>
      <c r="X79" s="34"/>
      <c r="Y79" s="34"/>
      <c r="Z79" s="34"/>
      <c r="AA79" s="34"/>
      <c r="AB79" s="34"/>
      <c r="AC79" s="34"/>
      <c r="AD79" s="34"/>
      <c r="AE79" s="34"/>
    </row>
    <row r="80" ht="22.5" customHeight="1">
      <c r="A80" s="33">
        <v>2099110.0</v>
      </c>
      <c r="B80" s="34" t="s">
        <v>911</v>
      </c>
      <c r="C80" s="35">
        <v>5.515991375059E12</v>
      </c>
      <c r="D80" s="34" t="s">
        <v>29</v>
      </c>
      <c r="E80" s="36">
        <v>294.62</v>
      </c>
      <c r="F80" s="34"/>
      <c r="G80" s="34"/>
      <c r="H80" s="34" t="s">
        <v>150</v>
      </c>
      <c r="I80" s="34" t="s">
        <v>31</v>
      </c>
      <c r="J80" s="34" t="s">
        <v>32</v>
      </c>
      <c r="K80" s="34" t="s">
        <v>36</v>
      </c>
      <c r="L80" s="34" t="s">
        <v>31</v>
      </c>
      <c r="M80" s="34" t="s">
        <v>32</v>
      </c>
      <c r="N80" s="34" t="s">
        <v>37</v>
      </c>
      <c r="O80" s="34" t="s">
        <v>124</v>
      </c>
      <c r="P80" s="34" t="s">
        <v>32</v>
      </c>
      <c r="Q80" s="34"/>
      <c r="R80" s="34"/>
      <c r="S80" s="34"/>
      <c r="T80" s="34"/>
      <c r="U80" s="34"/>
      <c r="V80" s="34"/>
      <c r="W80" s="34"/>
      <c r="X80" s="34"/>
      <c r="Y80" s="34"/>
      <c r="Z80" s="34"/>
      <c r="AA80" s="34"/>
      <c r="AB80" s="34"/>
      <c r="AC80" s="34"/>
      <c r="AD80" s="34"/>
      <c r="AE80" s="34"/>
    </row>
    <row r="81" ht="22.5" customHeight="1">
      <c r="A81" s="33">
        <v>2099053.0</v>
      </c>
      <c r="B81" s="34" t="s">
        <v>912</v>
      </c>
      <c r="C81" s="35">
        <v>5.515991151293E12</v>
      </c>
      <c r="D81" s="34" t="s">
        <v>29</v>
      </c>
      <c r="E81" s="36">
        <v>4676.25</v>
      </c>
      <c r="F81" s="34"/>
      <c r="G81" s="34"/>
      <c r="H81" s="34" t="s">
        <v>150</v>
      </c>
      <c r="I81" s="34" t="s">
        <v>31</v>
      </c>
      <c r="J81" s="34" t="s">
        <v>32</v>
      </c>
      <c r="K81" s="34" t="s">
        <v>255</v>
      </c>
      <c r="L81" s="34" t="s">
        <v>199</v>
      </c>
      <c r="M81" s="34" t="s">
        <v>32</v>
      </c>
      <c r="N81" s="34" t="s">
        <v>132</v>
      </c>
      <c r="O81" s="34" t="s">
        <v>63</v>
      </c>
      <c r="P81" s="34" t="s">
        <v>32</v>
      </c>
      <c r="Q81" s="34" t="s">
        <v>203</v>
      </c>
      <c r="R81" s="34" t="s">
        <v>199</v>
      </c>
      <c r="S81" s="34" t="s">
        <v>32</v>
      </c>
      <c r="T81" s="34" t="s">
        <v>85</v>
      </c>
      <c r="U81" s="34" t="s">
        <v>199</v>
      </c>
      <c r="V81" s="34" t="s">
        <v>32</v>
      </c>
      <c r="W81" s="34" t="s">
        <v>108</v>
      </c>
      <c r="X81" s="34" t="s">
        <v>31</v>
      </c>
      <c r="Y81" s="34" t="s">
        <v>32</v>
      </c>
      <c r="Z81" s="34" t="s">
        <v>37</v>
      </c>
      <c r="AA81" s="34" t="s">
        <v>913</v>
      </c>
      <c r="AB81" s="34" t="s">
        <v>170</v>
      </c>
      <c r="AC81" s="34"/>
      <c r="AD81" s="34"/>
      <c r="AE81" s="34"/>
    </row>
    <row r="82" ht="22.5" customHeight="1">
      <c r="A82" s="33">
        <v>2098450.0</v>
      </c>
      <c r="B82" s="34" t="s">
        <v>914</v>
      </c>
      <c r="C82" s="35">
        <v>5.515996967555E12</v>
      </c>
      <c r="D82" s="34" t="s">
        <v>29</v>
      </c>
      <c r="E82" s="36">
        <v>150.0</v>
      </c>
      <c r="F82" s="34"/>
      <c r="G82" s="34"/>
      <c r="H82" s="34" t="s">
        <v>150</v>
      </c>
      <c r="I82" s="34" t="s">
        <v>31</v>
      </c>
      <c r="J82" s="34" t="s">
        <v>32</v>
      </c>
      <c r="K82" s="34" t="s">
        <v>37</v>
      </c>
      <c r="L82" s="34" t="s">
        <v>74</v>
      </c>
      <c r="M82" s="34" t="s">
        <v>32</v>
      </c>
      <c r="N82" s="34"/>
      <c r="O82" s="34"/>
      <c r="P82" s="34"/>
      <c r="Q82" s="34"/>
      <c r="R82" s="34"/>
      <c r="S82" s="34"/>
      <c r="T82" s="34"/>
      <c r="U82" s="34"/>
      <c r="V82" s="34"/>
      <c r="W82" s="34"/>
      <c r="X82" s="34"/>
      <c r="Y82" s="34"/>
      <c r="Z82" s="34"/>
      <c r="AA82" s="34"/>
      <c r="AB82" s="34"/>
      <c r="AC82" s="34"/>
      <c r="AD82" s="34"/>
      <c r="AE82" s="34"/>
    </row>
    <row r="83" ht="22.5" customHeight="1">
      <c r="A83" s="33">
        <v>2097940.0</v>
      </c>
      <c r="B83" s="34" t="s">
        <v>915</v>
      </c>
      <c r="C83" s="35">
        <v>5.515996272949E12</v>
      </c>
      <c r="D83" s="34" t="s">
        <v>40</v>
      </c>
      <c r="E83" s="36">
        <v>3561.63</v>
      </c>
      <c r="F83" s="34"/>
      <c r="G83" s="34"/>
      <c r="H83" s="34" t="s">
        <v>132</v>
      </c>
      <c r="I83" s="34" t="s">
        <v>916</v>
      </c>
      <c r="J83" s="34" t="s">
        <v>56</v>
      </c>
      <c r="K83" s="34" t="s">
        <v>108</v>
      </c>
      <c r="L83" s="34" t="s">
        <v>31</v>
      </c>
      <c r="M83" s="34" t="s">
        <v>32</v>
      </c>
      <c r="N83" s="34" t="s">
        <v>37</v>
      </c>
      <c r="O83" s="34" t="s">
        <v>917</v>
      </c>
      <c r="P83" s="34" t="s">
        <v>46</v>
      </c>
      <c r="Q83" s="34"/>
      <c r="R83" s="34"/>
      <c r="S83" s="34"/>
      <c r="T83" s="34"/>
      <c r="U83" s="34"/>
      <c r="V83" s="34"/>
      <c r="W83" s="34"/>
      <c r="X83" s="34"/>
      <c r="Y83" s="34"/>
      <c r="Z83" s="34"/>
      <c r="AA83" s="34"/>
      <c r="AB83" s="34"/>
      <c r="AC83" s="34"/>
      <c r="AD83" s="34"/>
      <c r="AE83" s="34"/>
    </row>
    <row r="84" ht="22.5" customHeight="1">
      <c r="A84" s="33">
        <v>2097536.0</v>
      </c>
      <c r="B84" s="34" t="s">
        <v>918</v>
      </c>
      <c r="C84" s="35">
        <v>5.515988165087E12</v>
      </c>
      <c r="D84" s="34" t="s">
        <v>40</v>
      </c>
      <c r="E84" s="36">
        <v>2209.5</v>
      </c>
      <c r="F84" s="34"/>
      <c r="G84" s="34"/>
      <c r="H84" s="34" t="s">
        <v>150</v>
      </c>
      <c r="I84" s="34" t="s">
        <v>31</v>
      </c>
      <c r="J84" s="34" t="s">
        <v>32</v>
      </c>
      <c r="K84" s="34" t="s">
        <v>95</v>
      </c>
      <c r="L84" s="34" t="s">
        <v>44</v>
      </c>
      <c r="M84" s="34" t="s">
        <v>32</v>
      </c>
      <c r="N84" s="34" t="s">
        <v>36</v>
      </c>
      <c r="O84" s="34" t="s">
        <v>31</v>
      </c>
      <c r="P84" s="34" t="s">
        <v>32</v>
      </c>
      <c r="Q84" s="34" t="s">
        <v>37</v>
      </c>
      <c r="R84" s="34" t="s">
        <v>919</v>
      </c>
      <c r="S84" s="34" t="s">
        <v>254</v>
      </c>
      <c r="T84" s="34"/>
      <c r="U84" s="34"/>
      <c r="V84" s="34"/>
      <c r="W84" s="34"/>
      <c r="X84" s="34"/>
      <c r="Y84" s="34"/>
      <c r="Z84" s="34"/>
      <c r="AA84" s="34"/>
      <c r="AB84" s="34"/>
      <c r="AC84" s="34"/>
      <c r="AD84" s="34"/>
      <c r="AE84" s="34"/>
    </row>
    <row r="85" ht="22.5" customHeight="1">
      <c r="A85" s="33">
        <v>2097324.0</v>
      </c>
      <c r="B85" s="34" t="s">
        <v>920</v>
      </c>
      <c r="C85" s="35">
        <v>5.515998423286E12</v>
      </c>
      <c r="D85" s="34" t="s">
        <v>68</v>
      </c>
      <c r="E85" s="36">
        <v>189.45</v>
      </c>
      <c r="F85" s="34"/>
      <c r="G85" s="34"/>
      <c r="H85" s="34" t="s">
        <v>150</v>
      </c>
      <c r="I85" s="34" t="s">
        <v>31</v>
      </c>
      <c r="J85" s="34" t="s">
        <v>32</v>
      </c>
      <c r="K85" s="34" t="s">
        <v>62</v>
      </c>
      <c r="L85" s="34" t="s">
        <v>92</v>
      </c>
      <c r="M85" s="34" t="s">
        <v>32</v>
      </c>
      <c r="N85" s="34"/>
      <c r="O85" s="34"/>
      <c r="P85" s="34"/>
      <c r="Q85" s="34"/>
      <c r="R85" s="34"/>
      <c r="S85" s="34"/>
      <c r="T85" s="34"/>
      <c r="U85" s="34"/>
      <c r="V85" s="34"/>
      <c r="W85" s="34"/>
      <c r="X85" s="34"/>
      <c r="Y85" s="34"/>
      <c r="Z85" s="34"/>
      <c r="AA85" s="34"/>
      <c r="AB85" s="34"/>
      <c r="AC85" s="34"/>
      <c r="AD85" s="34"/>
      <c r="AE85" s="34"/>
    </row>
    <row r="86" ht="22.5" customHeight="1">
      <c r="A86" s="33">
        <v>2096904.0</v>
      </c>
      <c r="B86" s="34" t="s">
        <v>921</v>
      </c>
      <c r="C86" s="35">
        <v>5.515996117528E12</v>
      </c>
      <c r="D86" s="34" t="s">
        <v>68</v>
      </c>
      <c r="E86" s="36">
        <v>9688.2</v>
      </c>
      <c r="F86" s="34"/>
      <c r="G86" s="34"/>
      <c r="H86" s="34" t="s">
        <v>150</v>
      </c>
      <c r="I86" s="34" t="s">
        <v>31</v>
      </c>
      <c r="J86" s="34" t="s">
        <v>32</v>
      </c>
      <c r="K86" s="34" t="s">
        <v>33</v>
      </c>
      <c r="L86" s="34" t="s">
        <v>371</v>
      </c>
      <c r="M86" s="34" t="s">
        <v>56</v>
      </c>
      <c r="N86" s="34" t="s">
        <v>47</v>
      </c>
      <c r="O86" s="34" t="s">
        <v>44</v>
      </c>
      <c r="P86" s="34" t="s">
        <v>32</v>
      </c>
      <c r="Q86" s="34" t="s">
        <v>91</v>
      </c>
      <c r="R86" s="34" t="s">
        <v>371</v>
      </c>
      <c r="S86" s="34" t="s">
        <v>56</v>
      </c>
      <c r="T86" s="34" t="s">
        <v>35</v>
      </c>
      <c r="U86" s="34" t="s">
        <v>371</v>
      </c>
      <c r="V86" s="34" t="s">
        <v>56</v>
      </c>
      <c r="W86" s="34" t="s">
        <v>123</v>
      </c>
      <c r="X86" s="34" t="s">
        <v>44</v>
      </c>
      <c r="Y86" s="34" t="s">
        <v>32</v>
      </c>
      <c r="Z86" s="34"/>
      <c r="AA86" s="34"/>
      <c r="AB86" s="34"/>
      <c r="AC86" s="34"/>
      <c r="AD86" s="34"/>
      <c r="AE86" s="34"/>
    </row>
    <row r="87" ht="22.5" customHeight="1">
      <c r="A87" s="33">
        <v>2096341.0</v>
      </c>
      <c r="B87" s="34" t="s">
        <v>922</v>
      </c>
      <c r="C87" s="35">
        <v>5.515996956801E12</v>
      </c>
      <c r="D87" s="34" t="s">
        <v>360</v>
      </c>
      <c r="E87" s="36">
        <v>1228.6</v>
      </c>
      <c r="F87" s="34"/>
      <c r="G87" s="34"/>
      <c r="H87" s="34" t="s">
        <v>150</v>
      </c>
      <c r="I87" s="34" t="s">
        <v>31</v>
      </c>
      <c r="J87" s="34" t="s">
        <v>32</v>
      </c>
      <c r="K87" s="34" t="s">
        <v>132</v>
      </c>
      <c r="L87" s="34" t="s">
        <v>431</v>
      </c>
      <c r="M87" s="34" t="s">
        <v>32</v>
      </c>
      <c r="N87" s="34" t="s">
        <v>37</v>
      </c>
      <c r="O87" s="34" t="s">
        <v>923</v>
      </c>
      <c r="P87" s="34" t="s">
        <v>56</v>
      </c>
      <c r="Q87" s="34"/>
      <c r="R87" s="34"/>
      <c r="S87" s="34"/>
      <c r="T87" s="34"/>
      <c r="U87" s="34"/>
      <c r="V87" s="34"/>
      <c r="W87" s="34"/>
      <c r="X87" s="34"/>
      <c r="Y87" s="34"/>
      <c r="Z87" s="34"/>
      <c r="AA87" s="34"/>
      <c r="AB87" s="34"/>
      <c r="AC87" s="34"/>
      <c r="AD87" s="34"/>
      <c r="AE87" s="34"/>
    </row>
    <row r="88" ht="22.5" customHeight="1">
      <c r="A88" s="33">
        <v>2096051.0</v>
      </c>
      <c r="B88" s="34" t="s">
        <v>924</v>
      </c>
      <c r="C88" s="35">
        <v>5.51599627037E12</v>
      </c>
      <c r="D88" s="34" t="s">
        <v>58</v>
      </c>
      <c r="E88" s="36">
        <v>1092.0</v>
      </c>
      <c r="F88" s="34"/>
      <c r="G88" s="34"/>
      <c r="H88" s="34" t="s">
        <v>150</v>
      </c>
      <c r="I88" s="34" t="s">
        <v>31</v>
      </c>
      <c r="J88" s="34" t="s">
        <v>32</v>
      </c>
      <c r="K88" s="34" t="s">
        <v>108</v>
      </c>
      <c r="L88" s="34" t="s">
        <v>31</v>
      </c>
      <c r="M88" s="34" t="s">
        <v>32</v>
      </c>
      <c r="N88" s="34" t="s">
        <v>37</v>
      </c>
      <c r="O88" s="34" t="s">
        <v>925</v>
      </c>
      <c r="P88" s="34" t="s">
        <v>170</v>
      </c>
      <c r="Q88" s="34"/>
      <c r="R88" s="34"/>
      <c r="S88" s="34"/>
      <c r="T88" s="34"/>
      <c r="U88" s="34"/>
      <c r="V88" s="34"/>
      <c r="W88" s="34"/>
      <c r="X88" s="34"/>
      <c r="Y88" s="34"/>
      <c r="Z88" s="34"/>
      <c r="AA88" s="34"/>
      <c r="AB88" s="34"/>
      <c r="AC88" s="34"/>
      <c r="AD88" s="34"/>
      <c r="AE88" s="34"/>
    </row>
    <row r="89" ht="22.5" customHeight="1">
      <c r="A89" s="33">
        <v>2095701.0</v>
      </c>
      <c r="B89" s="34" t="s">
        <v>926</v>
      </c>
      <c r="C89" s="35">
        <v>5.515991117075E12</v>
      </c>
      <c r="D89" s="34" t="s">
        <v>677</v>
      </c>
      <c r="E89" s="36">
        <v>930.2</v>
      </c>
      <c r="F89" s="34"/>
      <c r="G89" s="34"/>
      <c r="H89" s="34" t="s">
        <v>150</v>
      </c>
      <c r="I89" s="34" t="s">
        <v>31</v>
      </c>
      <c r="J89" s="34" t="s">
        <v>32</v>
      </c>
      <c r="K89" s="34" t="s">
        <v>108</v>
      </c>
      <c r="L89" s="34" t="s">
        <v>31</v>
      </c>
      <c r="M89" s="34" t="s">
        <v>32</v>
      </c>
      <c r="N89" s="34" t="s">
        <v>37</v>
      </c>
      <c r="O89" s="34" t="s">
        <v>927</v>
      </c>
      <c r="P89" s="34" t="s">
        <v>70</v>
      </c>
      <c r="Q89" s="34"/>
      <c r="R89" s="34"/>
      <c r="S89" s="34"/>
      <c r="T89" s="34"/>
      <c r="U89" s="34"/>
      <c r="V89" s="34"/>
      <c r="W89" s="34"/>
      <c r="X89" s="34"/>
      <c r="Y89" s="34"/>
      <c r="Z89" s="34"/>
      <c r="AA89" s="34"/>
      <c r="AB89" s="34"/>
      <c r="AC89" s="34"/>
      <c r="AD89" s="34"/>
      <c r="AE89" s="34"/>
    </row>
    <row r="90" ht="22.5" customHeight="1">
      <c r="A90" s="33">
        <v>2095352.0</v>
      </c>
      <c r="B90" s="34" t="s">
        <v>928</v>
      </c>
      <c r="C90" s="35">
        <v>5.515996079524E12</v>
      </c>
      <c r="D90" s="34" t="s">
        <v>89</v>
      </c>
      <c r="E90" s="36">
        <v>11958.5</v>
      </c>
      <c r="F90" s="34"/>
      <c r="G90" s="34"/>
      <c r="H90" s="34" t="s">
        <v>150</v>
      </c>
      <c r="I90" s="34" t="s">
        <v>31</v>
      </c>
      <c r="J90" s="34" t="s">
        <v>32</v>
      </c>
      <c r="K90" s="34" t="s">
        <v>33</v>
      </c>
      <c r="L90" s="34" t="s">
        <v>929</v>
      </c>
      <c r="M90" s="34" t="s">
        <v>70</v>
      </c>
      <c r="N90" s="34" t="s">
        <v>35</v>
      </c>
      <c r="O90" s="34" t="s">
        <v>930</v>
      </c>
      <c r="P90" s="34" t="s">
        <v>70</v>
      </c>
      <c r="Q90" s="34" t="s">
        <v>37</v>
      </c>
      <c r="R90" s="34" t="s">
        <v>931</v>
      </c>
      <c r="S90" s="34" t="s">
        <v>70</v>
      </c>
      <c r="T90" s="34"/>
      <c r="U90" s="34"/>
      <c r="V90" s="34"/>
      <c r="W90" s="34"/>
      <c r="X90" s="34"/>
      <c r="Y90" s="34"/>
      <c r="Z90" s="34"/>
      <c r="AA90" s="34"/>
      <c r="AB90" s="34"/>
      <c r="AC90" s="34"/>
      <c r="AD90" s="34"/>
      <c r="AE90" s="34"/>
    </row>
    <row r="91" ht="22.5" customHeight="1">
      <c r="A91" s="33">
        <v>2094961.0</v>
      </c>
      <c r="B91" s="34" t="s">
        <v>932</v>
      </c>
      <c r="C91" s="35">
        <v>5.515998271034E12</v>
      </c>
      <c r="D91" s="34" t="s">
        <v>89</v>
      </c>
      <c r="E91" s="36">
        <v>230.63</v>
      </c>
      <c r="F91" s="34"/>
      <c r="G91" s="34"/>
      <c r="H91" s="34" t="s">
        <v>150</v>
      </c>
      <c r="I91" s="34" t="s">
        <v>31</v>
      </c>
      <c r="J91" s="34" t="s">
        <v>32</v>
      </c>
      <c r="K91" s="34" t="s">
        <v>91</v>
      </c>
      <c r="L91" s="34" t="s">
        <v>291</v>
      </c>
      <c r="M91" s="34" t="s">
        <v>32</v>
      </c>
      <c r="N91" s="34"/>
      <c r="O91" s="34"/>
      <c r="P91" s="34"/>
      <c r="Q91" s="34"/>
      <c r="R91" s="34"/>
      <c r="S91" s="34"/>
      <c r="T91" s="34"/>
      <c r="U91" s="34"/>
      <c r="V91" s="34"/>
      <c r="W91" s="34"/>
      <c r="X91" s="34"/>
      <c r="Y91" s="34"/>
      <c r="Z91" s="34"/>
      <c r="AA91" s="34"/>
      <c r="AB91" s="34"/>
      <c r="AC91" s="34"/>
      <c r="AD91" s="34"/>
      <c r="AE91" s="34"/>
    </row>
    <row r="92" ht="22.5" customHeight="1">
      <c r="A92" s="33">
        <v>2094036.0</v>
      </c>
      <c r="B92" s="34" t="s">
        <v>933</v>
      </c>
      <c r="C92" s="35">
        <v>5.515988118846E12</v>
      </c>
      <c r="D92" s="34" t="s">
        <v>296</v>
      </c>
      <c r="E92" s="36">
        <v>889.3</v>
      </c>
      <c r="F92" s="34"/>
      <c r="G92" s="34"/>
      <c r="H92" s="34" t="s">
        <v>150</v>
      </c>
      <c r="I92" s="34" t="s">
        <v>31</v>
      </c>
      <c r="J92" s="34" t="s">
        <v>32</v>
      </c>
      <c r="K92" s="34" t="s">
        <v>108</v>
      </c>
      <c r="L92" s="34" t="s">
        <v>31</v>
      </c>
      <c r="M92" s="34" t="s">
        <v>56</v>
      </c>
      <c r="N92" s="34" t="s">
        <v>37</v>
      </c>
      <c r="O92" s="34" t="s">
        <v>103</v>
      </c>
      <c r="P92" s="34" t="s">
        <v>56</v>
      </c>
      <c r="Q92" s="34"/>
      <c r="R92" s="34"/>
      <c r="S92" s="34"/>
      <c r="T92" s="34"/>
      <c r="U92" s="34"/>
      <c r="V92" s="34"/>
      <c r="W92" s="34"/>
      <c r="X92" s="34"/>
      <c r="Y92" s="34"/>
      <c r="Z92" s="34"/>
      <c r="AA92" s="34"/>
      <c r="AB92" s="34"/>
      <c r="AC92" s="34"/>
      <c r="AD92" s="34"/>
      <c r="AE92" s="34"/>
    </row>
    <row r="93" ht="22.5" customHeight="1">
      <c r="A93" s="33">
        <v>2093897.0</v>
      </c>
      <c r="B93" s="34" t="s">
        <v>934</v>
      </c>
      <c r="C93" s="35">
        <v>5.515988350238E12</v>
      </c>
      <c r="D93" s="34" t="s">
        <v>40</v>
      </c>
      <c r="E93" s="36">
        <v>4854.96</v>
      </c>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row>
    <row r="94" ht="22.5" customHeight="1">
      <c r="A94" s="33">
        <v>2093813.0</v>
      </c>
      <c r="B94" s="34" t="s">
        <v>935</v>
      </c>
      <c r="C94" s="35">
        <v>5.519982211907E12</v>
      </c>
      <c r="D94" s="34" t="s">
        <v>68</v>
      </c>
      <c r="E94" s="36">
        <v>385.24</v>
      </c>
      <c r="F94" s="34"/>
      <c r="G94" s="34"/>
      <c r="H94" s="34" t="s">
        <v>150</v>
      </c>
      <c r="I94" s="34" t="s">
        <v>31</v>
      </c>
      <c r="J94" s="34" t="s">
        <v>32</v>
      </c>
      <c r="K94" s="34" t="s">
        <v>936</v>
      </c>
      <c r="L94" s="34" t="s">
        <v>31</v>
      </c>
      <c r="M94" s="34" t="s">
        <v>32</v>
      </c>
      <c r="N94" s="34"/>
      <c r="O94" s="34"/>
      <c r="P94" s="34"/>
      <c r="Q94" s="34"/>
      <c r="R94" s="34"/>
      <c r="S94" s="34"/>
      <c r="T94" s="34"/>
      <c r="U94" s="34"/>
      <c r="V94" s="34"/>
      <c r="W94" s="34"/>
      <c r="X94" s="34"/>
      <c r="Y94" s="34"/>
      <c r="Z94" s="34"/>
      <c r="AA94" s="34"/>
      <c r="AB94" s="34"/>
      <c r="AC94" s="34"/>
      <c r="AD94" s="34"/>
      <c r="AE94" s="34"/>
    </row>
    <row r="95" ht="22.5" customHeight="1">
      <c r="A95" s="33">
        <v>2093306.0</v>
      </c>
      <c r="B95" s="34" t="s">
        <v>937</v>
      </c>
      <c r="C95" s="35">
        <v>5.515991500698E12</v>
      </c>
      <c r="D95" s="34" t="s">
        <v>58</v>
      </c>
      <c r="E95" s="36">
        <v>629.8</v>
      </c>
      <c r="F95" s="34"/>
      <c r="G95" s="34"/>
      <c r="H95" s="34" t="s">
        <v>938</v>
      </c>
      <c r="I95" s="34" t="s">
        <v>31</v>
      </c>
      <c r="J95" s="34" t="s">
        <v>32</v>
      </c>
      <c r="K95" s="34" t="s">
        <v>150</v>
      </c>
      <c r="L95" s="34" t="s">
        <v>31</v>
      </c>
      <c r="M95" s="34" t="s">
        <v>32</v>
      </c>
      <c r="N95" s="34" t="s">
        <v>36</v>
      </c>
      <c r="O95" s="34" t="s">
        <v>31</v>
      </c>
      <c r="P95" s="34" t="s">
        <v>32</v>
      </c>
      <c r="Q95" s="34" t="s">
        <v>37</v>
      </c>
      <c r="R95" s="34" t="s">
        <v>417</v>
      </c>
      <c r="S95" s="34" t="s">
        <v>56</v>
      </c>
      <c r="T95" s="34"/>
      <c r="U95" s="34"/>
      <c r="V95" s="34"/>
      <c r="W95" s="34"/>
      <c r="X95" s="34"/>
      <c r="Y95" s="34"/>
      <c r="Z95" s="34"/>
      <c r="AA95" s="34"/>
      <c r="AB95" s="34"/>
      <c r="AC95" s="34"/>
      <c r="AD95" s="34"/>
      <c r="AE95" s="34"/>
    </row>
    <row r="96" ht="22.5" customHeight="1">
      <c r="A96" s="33">
        <v>2093296.0</v>
      </c>
      <c r="B96" s="34" t="s">
        <v>939</v>
      </c>
      <c r="C96" s="35">
        <v>5.515991500698E12</v>
      </c>
      <c r="D96" s="34" t="s">
        <v>58</v>
      </c>
      <c r="E96" s="36">
        <v>901.35</v>
      </c>
      <c r="F96" s="34"/>
      <c r="G96" s="34"/>
      <c r="H96" s="34" t="s">
        <v>150</v>
      </c>
      <c r="I96" s="34" t="s">
        <v>31</v>
      </c>
      <c r="J96" s="34" t="s">
        <v>32</v>
      </c>
      <c r="K96" s="34" t="s">
        <v>108</v>
      </c>
      <c r="L96" s="34" t="s">
        <v>31</v>
      </c>
      <c r="M96" s="34" t="s">
        <v>32</v>
      </c>
      <c r="N96" s="34" t="s">
        <v>36</v>
      </c>
      <c r="O96" s="34" t="s">
        <v>31</v>
      </c>
      <c r="P96" s="34" t="s">
        <v>32</v>
      </c>
      <c r="Q96" s="34" t="s">
        <v>37</v>
      </c>
      <c r="R96" s="34" t="s">
        <v>940</v>
      </c>
      <c r="S96" s="34" t="s">
        <v>61</v>
      </c>
      <c r="T96" s="34"/>
      <c r="U96" s="34"/>
      <c r="V96" s="34"/>
      <c r="W96" s="34"/>
      <c r="X96" s="34"/>
      <c r="Y96" s="34"/>
      <c r="Z96" s="34"/>
      <c r="AA96" s="34"/>
      <c r="AB96" s="34"/>
      <c r="AC96" s="34"/>
      <c r="AD96" s="34"/>
      <c r="AE96" s="34"/>
    </row>
    <row r="97" ht="22.5" customHeight="1">
      <c r="A97" s="33">
        <v>2092788.0</v>
      </c>
      <c r="B97" s="34" t="s">
        <v>941</v>
      </c>
      <c r="C97" s="35">
        <v>5.51197987976E12</v>
      </c>
      <c r="D97" s="34" t="s">
        <v>58</v>
      </c>
      <c r="E97" s="36">
        <v>4535.0</v>
      </c>
      <c r="F97" s="34"/>
      <c r="G97" s="34"/>
      <c r="H97" s="34" t="s">
        <v>150</v>
      </c>
      <c r="I97" s="34" t="s">
        <v>31</v>
      </c>
      <c r="J97" s="34" t="s">
        <v>32</v>
      </c>
      <c r="K97" s="34" t="s">
        <v>33</v>
      </c>
      <c r="L97" s="34" t="s">
        <v>139</v>
      </c>
      <c r="M97" s="34" t="s">
        <v>32</v>
      </c>
      <c r="N97" s="34" t="s">
        <v>62</v>
      </c>
      <c r="O97" s="34" t="s">
        <v>139</v>
      </c>
      <c r="P97" s="34" t="s">
        <v>32</v>
      </c>
      <c r="Q97" s="34" t="s">
        <v>35</v>
      </c>
      <c r="R97" s="34" t="s">
        <v>139</v>
      </c>
      <c r="S97" s="34" t="s">
        <v>32</v>
      </c>
      <c r="T97" s="34" t="s">
        <v>37</v>
      </c>
      <c r="U97" s="34" t="s">
        <v>92</v>
      </c>
      <c r="V97" s="34" t="s">
        <v>32</v>
      </c>
      <c r="W97" s="34" t="s">
        <v>641</v>
      </c>
      <c r="X97" s="34" t="s">
        <v>92</v>
      </c>
      <c r="Y97" s="34" t="s">
        <v>32</v>
      </c>
      <c r="Z97" s="34"/>
      <c r="AA97" s="34"/>
      <c r="AB97" s="34"/>
      <c r="AC97" s="34"/>
      <c r="AD97" s="34"/>
      <c r="AE97" s="34"/>
    </row>
    <row r="98" ht="22.5" customHeight="1">
      <c r="A98" s="33">
        <v>2091434.0</v>
      </c>
      <c r="B98" s="34" t="s">
        <v>942</v>
      </c>
      <c r="C98" s="35">
        <v>5.515991962003E12</v>
      </c>
      <c r="D98" s="34" t="s">
        <v>360</v>
      </c>
      <c r="E98" s="36">
        <v>4886.8</v>
      </c>
      <c r="F98" s="34"/>
      <c r="G98" s="34"/>
      <c r="H98" s="34" t="s">
        <v>150</v>
      </c>
      <c r="I98" s="34" t="s">
        <v>31</v>
      </c>
      <c r="J98" s="34" t="s">
        <v>32</v>
      </c>
      <c r="K98" s="34" t="s">
        <v>54</v>
      </c>
      <c r="L98" s="34" t="s">
        <v>784</v>
      </c>
      <c r="M98" s="34" t="s">
        <v>32</v>
      </c>
      <c r="N98" s="34" t="s">
        <v>41</v>
      </c>
      <c r="O98" s="34" t="s">
        <v>31</v>
      </c>
      <c r="P98" s="34" t="s">
        <v>32</v>
      </c>
      <c r="Q98" s="34"/>
      <c r="R98" s="34"/>
      <c r="S98" s="34"/>
      <c r="T98" s="34"/>
      <c r="U98" s="34"/>
      <c r="V98" s="34"/>
      <c r="W98" s="34"/>
      <c r="X98" s="34"/>
      <c r="Y98" s="34"/>
      <c r="Z98" s="34"/>
      <c r="AA98" s="34"/>
      <c r="AB98" s="34"/>
      <c r="AC98" s="34"/>
      <c r="AD98" s="34"/>
      <c r="AE98" s="34"/>
    </row>
    <row r="99" ht="22.5" customHeight="1">
      <c r="A99" s="33">
        <v>2091291.0</v>
      </c>
      <c r="B99" s="34" t="s">
        <v>616</v>
      </c>
      <c r="C99" s="35">
        <v>5.515991864184E12</v>
      </c>
      <c r="D99" s="34" t="s">
        <v>89</v>
      </c>
      <c r="E99" s="36">
        <v>12841.66</v>
      </c>
      <c r="F99" s="34"/>
      <c r="G99" s="34"/>
      <c r="H99" s="34" t="s">
        <v>150</v>
      </c>
      <c r="I99" s="34" t="s">
        <v>31</v>
      </c>
      <c r="J99" s="34" t="s">
        <v>32</v>
      </c>
      <c r="K99" s="34" t="s">
        <v>35</v>
      </c>
      <c r="L99" s="34" t="s">
        <v>943</v>
      </c>
      <c r="M99" s="34" t="s">
        <v>70</v>
      </c>
      <c r="N99" s="34" t="s">
        <v>277</v>
      </c>
      <c r="O99" s="34" t="s">
        <v>50</v>
      </c>
      <c r="P99" s="34" t="s">
        <v>32</v>
      </c>
      <c r="Q99" s="34" t="s">
        <v>165</v>
      </c>
      <c r="R99" s="34" t="s">
        <v>44</v>
      </c>
      <c r="S99" s="34" t="s">
        <v>32</v>
      </c>
      <c r="T99" s="34"/>
      <c r="U99" s="34"/>
      <c r="V99" s="34"/>
      <c r="W99" s="34"/>
      <c r="X99" s="34"/>
      <c r="Y99" s="34"/>
      <c r="Z99" s="34"/>
      <c r="AA99" s="34"/>
      <c r="AB99" s="34"/>
      <c r="AC99" s="34"/>
      <c r="AD99" s="34"/>
      <c r="AE99" s="34"/>
    </row>
    <row r="100" ht="22.5" customHeight="1">
      <c r="A100" s="33">
        <v>2090332.0</v>
      </c>
      <c r="B100" s="34" t="s">
        <v>944</v>
      </c>
      <c r="C100" s="35">
        <v>5.515997693151E12</v>
      </c>
      <c r="D100" s="34" t="s">
        <v>702</v>
      </c>
      <c r="E100" s="36">
        <v>804.0</v>
      </c>
      <c r="F100" s="34"/>
      <c r="G100" s="34"/>
      <c r="H100" s="34" t="s">
        <v>150</v>
      </c>
      <c r="I100" s="34" t="s">
        <v>31</v>
      </c>
      <c r="J100" s="34" t="s">
        <v>32</v>
      </c>
      <c r="K100" s="34" t="s">
        <v>37</v>
      </c>
      <c r="L100" s="34" t="s">
        <v>945</v>
      </c>
      <c r="M100" s="34" t="s">
        <v>170</v>
      </c>
      <c r="N100" s="34"/>
      <c r="O100" s="34"/>
      <c r="P100" s="34"/>
      <c r="Q100" s="34"/>
      <c r="R100" s="34"/>
      <c r="S100" s="34"/>
      <c r="T100" s="34"/>
      <c r="U100" s="34"/>
      <c r="V100" s="34"/>
      <c r="W100" s="34"/>
      <c r="X100" s="34"/>
      <c r="Y100" s="34"/>
      <c r="Z100" s="34"/>
      <c r="AA100" s="34"/>
      <c r="AB100" s="34"/>
      <c r="AC100" s="34"/>
      <c r="AD100" s="34"/>
      <c r="AE100" s="34"/>
    </row>
    <row r="101" ht="22.5" customHeight="1">
      <c r="A101" s="33">
        <v>2090229.0</v>
      </c>
      <c r="B101" s="34" t="s">
        <v>946</v>
      </c>
      <c r="C101" s="35">
        <v>5.515988325851E12</v>
      </c>
      <c r="D101" s="34" t="s">
        <v>702</v>
      </c>
      <c r="E101" s="36">
        <v>1012.96</v>
      </c>
      <c r="F101" s="34"/>
      <c r="G101" s="34"/>
      <c r="H101" s="34" t="s">
        <v>150</v>
      </c>
      <c r="I101" s="34" t="s">
        <v>31</v>
      </c>
      <c r="J101" s="34" t="s">
        <v>32</v>
      </c>
      <c r="K101" s="34" t="s">
        <v>108</v>
      </c>
      <c r="L101" s="34" t="s">
        <v>31</v>
      </c>
      <c r="M101" s="34" t="s">
        <v>56</v>
      </c>
      <c r="N101" s="34" t="s">
        <v>36</v>
      </c>
      <c r="O101" s="34" t="s">
        <v>31</v>
      </c>
      <c r="P101" s="34" t="s">
        <v>32</v>
      </c>
      <c r="Q101" s="34" t="s">
        <v>37</v>
      </c>
      <c r="R101" s="34" t="s">
        <v>947</v>
      </c>
      <c r="S101" s="34" t="s">
        <v>56</v>
      </c>
      <c r="T101" s="34"/>
      <c r="U101" s="34"/>
      <c r="V101" s="34"/>
      <c r="W101" s="34"/>
      <c r="X101" s="34"/>
      <c r="Y101" s="34"/>
      <c r="Z101" s="34"/>
      <c r="AA101" s="34"/>
      <c r="AB101" s="34"/>
      <c r="AC101" s="34"/>
      <c r="AD101" s="34"/>
      <c r="AE101" s="34"/>
    </row>
    <row r="102" ht="22.5" customHeight="1">
      <c r="A102" s="33">
        <v>2090009.0</v>
      </c>
      <c r="B102" s="34" t="s">
        <v>948</v>
      </c>
      <c r="C102" s="35">
        <v>5.515988092688E12</v>
      </c>
      <c r="D102" s="34" t="s">
        <v>360</v>
      </c>
      <c r="E102" s="36">
        <v>4690.6</v>
      </c>
      <c r="F102" s="34"/>
      <c r="G102" s="34"/>
      <c r="H102" s="34" t="s">
        <v>150</v>
      </c>
      <c r="I102" s="34" t="s">
        <v>31</v>
      </c>
      <c r="J102" s="34" t="s">
        <v>32</v>
      </c>
      <c r="K102" s="34" t="s">
        <v>41</v>
      </c>
      <c r="L102" s="34" t="s">
        <v>31</v>
      </c>
      <c r="M102" s="34" t="s">
        <v>32</v>
      </c>
      <c r="N102" s="34"/>
      <c r="O102" s="34"/>
      <c r="P102" s="34"/>
      <c r="Q102" s="34"/>
      <c r="R102" s="34"/>
      <c r="S102" s="34"/>
      <c r="T102" s="34"/>
      <c r="U102" s="34"/>
      <c r="V102" s="34"/>
      <c r="W102" s="34"/>
      <c r="X102" s="34"/>
      <c r="Y102" s="34"/>
      <c r="Z102" s="34"/>
      <c r="AA102" s="34"/>
      <c r="AB102" s="34"/>
      <c r="AC102" s="34"/>
      <c r="AD102" s="34"/>
      <c r="AE102" s="34"/>
    </row>
    <row r="103" ht="22.5" customHeight="1">
      <c r="A103" s="33">
        <v>2089727.0</v>
      </c>
      <c r="B103" s="34" t="s">
        <v>949</v>
      </c>
      <c r="C103" s="35">
        <v>5.515997345914E12</v>
      </c>
      <c r="D103" s="34" t="s">
        <v>40</v>
      </c>
      <c r="E103" s="36">
        <v>4916.4</v>
      </c>
      <c r="F103" s="34"/>
      <c r="G103" s="34"/>
      <c r="H103" s="34" t="s">
        <v>150</v>
      </c>
      <c r="I103" s="34" t="s">
        <v>31</v>
      </c>
      <c r="J103" s="34" t="s">
        <v>32</v>
      </c>
      <c r="K103" s="34" t="s">
        <v>950</v>
      </c>
      <c r="L103" s="34" t="s">
        <v>31</v>
      </c>
      <c r="M103" s="34" t="s">
        <v>32</v>
      </c>
      <c r="N103" s="34" t="s">
        <v>128</v>
      </c>
      <c r="O103" s="34" t="s">
        <v>31</v>
      </c>
      <c r="P103" s="34" t="s">
        <v>32</v>
      </c>
      <c r="Q103" s="34"/>
      <c r="R103" s="34"/>
      <c r="S103" s="34"/>
      <c r="T103" s="34"/>
      <c r="U103" s="34"/>
      <c r="V103" s="34"/>
      <c r="W103" s="34"/>
      <c r="X103" s="34"/>
      <c r="Y103" s="34"/>
      <c r="Z103" s="34"/>
      <c r="AA103" s="34"/>
      <c r="AB103" s="34"/>
      <c r="AC103" s="34"/>
      <c r="AD103" s="34"/>
      <c r="AE103" s="34"/>
    </row>
    <row r="104" ht="22.5" customHeight="1">
      <c r="A104" s="33">
        <v>2089613.0</v>
      </c>
      <c r="B104" s="34" t="s">
        <v>951</v>
      </c>
      <c r="C104" s="35">
        <v>5.515998192914E12</v>
      </c>
      <c r="D104" s="34" t="s">
        <v>702</v>
      </c>
      <c r="E104" s="36">
        <v>2076.57</v>
      </c>
      <c r="F104" s="34"/>
      <c r="G104" s="34"/>
      <c r="H104" s="34" t="s">
        <v>150</v>
      </c>
      <c r="I104" s="34" t="s">
        <v>31</v>
      </c>
      <c r="J104" s="34" t="s">
        <v>32</v>
      </c>
      <c r="K104" s="34" t="s">
        <v>206</v>
      </c>
      <c r="L104" s="34" t="s">
        <v>31</v>
      </c>
      <c r="M104" s="34" t="s">
        <v>32</v>
      </c>
      <c r="N104" s="34" t="s">
        <v>37</v>
      </c>
      <c r="O104" s="34" t="s">
        <v>952</v>
      </c>
      <c r="P104" s="34" t="s">
        <v>271</v>
      </c>
      <c r="Q104" s="34"/>
      <c r="R104" s="34"/>
      <c r="S104" s="34"/>
      <c r="T104" s="34"/>
      <c r="U104" s="34"/>
      <c r="V104" s="34"/>
      <c r="W104" s="34"/>
      <c r="X104" s="34"/>
      <c r="Y104" s="34"/>
      <c r="Z104" s="34"/>
      <c r="AA104" s="34"/>
      <c r="AB104" s="34"/>
      <c r="AC104" s="34"/>
      <c r="AD104" s="34"/>
      <c r="AE104" s="34"/>
    </row>
    <row r="105" ht="22.5" customHeight="1">
      <c r="A105" s="33">
        <v>2089481.0</v>
      </c>
      <c r="B105" s="34" t="s">
        <v>953</v>
      </c>
      <c r="C105" s="35">
        <v>5.515991755809E12</v>
      </c>
      <c r="D105" s="34" t="s">
        <v>702</v>
      </c>
      <c r="E105" s="36">
        <v>2219.53</v>
      </c>
      <c r="F105" s="34"/>
      <c r="G105" s="34"/>
      <c r="H105" s="34" t="s">
        <v>150</v>
      </c>
      <c r="I105" s="34" t="s">
        <v>31</v>
      </c>
      <c r="J105" s="34" t="s">
        <v>32</v>
      </c>
      <c r="K105" s="34" t="s">
        <v>130</v>
      </c>
      <c r="L105" s="34" t="s">
        <v>92</v>
      </c>
      <c r="M105" s="34" t="s">
        <v>32</v>
      </c>
      <c r="N105" s="34" t="s">
        <v>133</v>
      </c>
      <c r="O105" s="34" t="s">
        <v>92</v>
      </c>
      <c r="P105" s="34" t="s">
        <v>32</v>
      </c>
      <c r="Q105" s="34" t="s">
        <v>108</v>
      </c>
      <c r="R105" s="34" t="s">
        <v>31</v>
      </c>
      <c r="S105" s="34" t="s">
        <v>32</v>
      </c>
      <c r="T105" s="34" t="s">
        <v>37</v>
      </c>
      <c r="U105" s="34" t="s">
        <v>399</v>
      </c>
      <c r="V105" s="34" t="s">
        <v>56</v>
      </c>
      <c r="W105" s="34"/>
      <c r="X105" s="34"/>
      <c r="Y105" s="34"/>
      <c r="Z105" s="34"/>
      <c r="AA105" s="34"/>
      <c r="AB105" s="34"/>
      <c r="AC105" s="34"/>
      <c r="AD105" s="34"/>
      <c r="AE105" s="34"/>
    </row>
    <row r="106" ht="22.5" customHeight="1">
      <c r="A106" s="33">
        <v>2089281.0</v>
      </c>
      <c r="B106" s="34" t="s">
        <v>954</v>
      </c>
      <c r="C106" s="35">
        <v>5.515988028701E12</v>
      </c>
      <c r="D106" s="34" t="s">
        <v>40</v>
      </c>
      <c r="E106" s="36">
        <v>5505.28</v>
      </c>
      <c r="F106" s="34"/>
      <c r="G106" s="34"/>
      <c r="H106" s="34" t="s">
        <v>150</v>
      </c>
      <c r="I106" s="34" t="s">
        <v>31</v>
      </c>
      <c r="J106" s="34" t="s">
        <v>32</v>
      </c>
      <c r="K106" s="34" t="s">
        <v>955</v>
      </c>
      <c r="L106" s="34" t="s">
        <v>44</v>
      </c>
      <c r="M106" s="34" t="s">
        <v>32</v>
      </c>
      <c r="N106" s="34" t="s">
        <v>48</v>
      </c>
      <c r="O106" s="34" t="s">
        <v>50</v>
      </c>
      <c r="P106" s="34" t="s">
        <v>32</v>
      </c>
      <c r="Q106" s="34" t="s">
        <v>165</v>
      </c>
      <c r="R106" s="34" t="s">
        <v>44</v>
      </c>
      <c r="S106" s="34" t="s">
        <v>32</v>
      </c>
      <c r="T106" s="34" t="s">
        <v>37</v>
      </c>
      <c r="U106" s="34" t="s">
        <v>594</v>
      </c>
      <c r="V106" s="34" t="s">
        <v>197</v>
      </c>
      <c r="W106" s="34"/>
      <c r="X106" s="34"/>
      <c r="Y106" s="34"/>
      <c r="Z106" s="34"/>
      <c r="AA106" s="34"/>
      <c r="AB106" s="34"/>
      <c r="AC106" s="34"/>
      <c r="AD106" s="34"/>
      <c r="AE106" s="34"/>
    </row>
    <row r="107" ht="22.5" customHeight="1">
      <c r="A107" s="33">
        <v>2089155.0</v>
      </c>
      <c r="B107" s="34" t="s">
        <v>956</v>
      </c>
      <c r="C107" s="35">
        <v>5.515991310267E12</v>
      </c>
      <c r="D107" s="34" t="s">
        <v>58</v>
      </c>
      <c r="E107" s="36">
        <v>584.56</v>
      </c>
      <c r="F107" s="34"/>
      <c r="G107" s="34"/>
      <c r="H107" s="34" t="s">
        <v>82</v>
      </c>
      <c r="I107" s="34" t="s">
        <v>135</v>
      </c>
      <c r="J107" s="34" t="s">
        <v>56</v>
      </c>
      <c r="K107" s="34" t="s">
        <v>36</v>
      </c>
      <c r="L107" s="34" t="s">
        <v>31</v>
      </c>
      <c r="M107" s="34" t="s">
        <v>32</v>
      </c>
      <c r="N107" s="34" t="s">
        <v>37</v>
      </c>
      <c r="O107" s="34" t="s">
        <v>957</v>
      </c>
      <c r="P107" s="34" t="s">
        <v>32</v>
      </c>
      <c r="Q107" s="34"/>
      <c r="R107" s="34"/>
      <c r="S107" s="34"/>
      <c r="T107" s="34"/>
      <c r="U107" s="34"/>
      <c r="V107" s="34"/>
      <c r="W107" s="34"/>
      <c r="X107" s="34"/>
      <c r="Y107" s="34"/>
      <c r="Z107" s="34"/>
      <c r="AA107" s="34"/>
      <c r="AB107" s="34"/>
      <c r="AC107" s="34"/>
      <c r="AD107" s="34"/>
      <c r="AE107" s="34"/>
    </row>
    <row r="108" ht="22.5" customHeight="1">
      <c r="A108" s="33">
        <v>2089099.0</v>
      </c>
      <c r="B108" s="34" t="s">
        <v>958</v>
      </c>
      <c r="C108" s="35">
        <v>5.515991120931E12</v>
      </c>
      <c r="D108" s="34" t="s">
        <v>58</v>
      </c>
      <c r="E108" s="36">
        <v>1000.0</v>
      </c>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row>
    <row r="109" ht="22.5" customHeight="1">
      <c r="A109" s="33">
        <v>2089075.0</v>
      </c>
      <c r="B109" s="34" t="s">
        <v>959</v>
      </c>
      <c r="C109" s="35">
        <v>5.515997777912E12</v>
      </c>
      <c r="D109" s="34" t="s">
        <v>58</v>
      </c>
      <c r="E109" s="36">
        <v>435.32</v>
      </c>
      <c r="F109" s="34"/>
      <c r="G109" s="34"/>
      <c r="H109" s="34" t="s">
        <v>82</v>
      </c>
      <c r="I109" s="34" t="s">
        <v>50</v>
      </c>
      <c r="J109" s="34" t="s">
        <v>32</v>
      </c>
      <c r="K109" s="34" t="s">
        <v>36</v>
      </c>
      <c r="L109" s="34" t="s">
        <v>31</v>
      </c>
      <c r="M109" s="34" t="s">
        <v>32</v>
      </c>
      <c r="N109" s="34" t="s">
        <v>37</v>
      </c>
      <c r="O109" s="34" t="s">
        <v>960</v>
      </c>
      <c r="P109" s="34" t="s">
        <v>32</v>
      </c>
      <c r="Q109" s="34"/>
      <c r="R109" s="34"/>
      <c r="S109" s="34"/>
      <c r="T109" s="34"/>
      <c r="U109" s="34"/>
      <c r="V109" s="34"/>
      <c r="W109" s="34"/>
      <c r="X109" s="34"/>
      <c r="Y109" s="34"/>
      <c r="Z109" s="34"/>
      <c r="AA109" s="34"/>
      <c r="AB109" s="34"/>
      <c r="AC109" s="34"/>
      <c r="AD109" s="34"/>
      <c r="AE109" s="34"/>
    </row>
    <row r="110" ht="22.5" customHeight="1">
      <c r="A110" s="33">
        <v>2088217.0</v>
      </c>
      <c r="B110" s="34" t="s">
        <v>961</v>
      </c>
      <c r="C110" s="35">
        <v>5.515992494576E12</v>
      </c>
      <c r="D110" s="34" t="s">
        <v>68</v>
      </c>
      <c r="E110" s="36">
        <v>659.22</v>
      </c>
      <c r="F110" s="34"/>
      <c r="G110" s="34"/>
      <c r="H110" s="34" t="s">
        <v>62</v>
      </c>
      <c r="I110" s="34" t="s">
        <v>262</v>
      </c>
      <c r="J110" s="34" t="s">
        <v>32</v>
      </c>
      <c r="K110" s="34" t="s">
        <v>108</v>
      </c>
      <c r="L110" s="34" t="s">
        <v>31</v>
      </c>
      <c r="M110" s="34" t="s">
        <v>32</v>
      </c>
      <c r="N110" s="34" t="s">
        <v>37</v>
      </c>
      <c r="O110" s="34" t="s">
        <v>104</v>
      </c>
      <c r="P110" s="34" t="s">
        <v>32</v>
      </c>
      <c r="Q110" s="34"/>
      <c r="R110" s="34"/>
      <c r="S110" s="34"/>
      <c r="T110" s="34"/>
      <c r="U110" s="34"/>
      <c r="V110" s="34"/>
      <c r="W110" s="34"/>
      <c r="X110" s="34"/>
      <c r="Y110" s="34"/>
      <c r="Z110" s="34"/>
      <c r="AA110" s="34"/>
      <c r="AB110" s="34"/>
      <c r="AC110" s="34"/>
      <c r="AD110" s="34"/>
      <c r="AE110" s="34"/>
    </row>
    <row r="111" ht="22.5" customHeight="1">
      <c r="A111" s="33">
        <v>2087679.0</v>
      </c>
      <c r="B111" s="34" t="s">
        <v>962</v>
      </c>
      <c r="C111" s="35">
        <v>5.515991613942E12</v>
      </c>
      <c r="D111" s="34" t="s">
        <v>68</v>
      </c>
      <c r="E111" s="36">
        <v>5537.9</v>
      </c>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row>
    <row r="112" ht="22.5" customHeight="1">
      <c r="A112" s="33">
        <v>2087445.0</v>
      </c>
      <c r="B112" s="34" t="s">
        <v>963</v>
      </c>
      <c r="C112" s="35">
        <v>5.515984578887E12</v>
      </c>
      <c r="D112" s="34" t="s">
        <v>173</v>
      </c>
      <c r="E112" s="36">
        <v>4690.6</v>
      </c>
      <c r="F112" s="34"/>
      <c r="G112" s="34"/>
      <c r="H112" s="34" t="s">
        <v>150</v>
      </c>
      <c r="I112" s="34" t="s">
        <v>31</v>
      </c>
      <c r="J112" s="34" t="s">
        <v>32</v>
      </c>
      <c r="K112" s="34" t="s">
        <v>41</v>
      </c>
      <c r="L112" s="34" t="s">
        <v>31</v>
      </c>
      <c r="M112" s="34" t="s">
        <v>32</v>
      </c>
      <c r="N112" s="34"/>
      <c r="O112" s="34"/>
      <c r="P112" s="34"/>
      <c r="Q112" s="34"/>
      <c r="R112" s="34"/>
      <c r="S112" s="34"/>
      <c r="T112" s="34"/>
      <c r="U112" s="34"/>
      <c r="V112" s="34"/>
      <c r="W112" s="34"/>
      <c r="X112" s="34"/>
      <c r="Y112" s="34"/>
      <c r="Z112" s="34"/>
      <c r="AA112" s="34"/>
      <c r="AB112" s="34"/>
      <c r="AC112" s="34"/>
      <c r="AD112" s="34"/>
      <c r="AE112" s="34"/>
    </row>
    <row r="113" ht="22.5" customHeight="1">
      <c r="A113" s="33">
        <v>2087438.0</v>
      </c>
      <c r="B113" s="34" t="s">
        <v>964</v>
      </c>
      <c r="C113" s="35">
        <v>5.515981278887E12</v>
      </c>
      <c r="D113" s="34" t="s">
        <v>173</v>
      </c>
      <c r="E113" s="36">
        <v>4690.6</v>
      </c>
      <c r="F113" s="34"/>
      <c r="G113" s="34"/>
      <c r="H113" s="34" t="s">
        <v>150</v>
      </c>
      <c r="I113" s="34" t="s">
        <v>31</v>
      </c>
      <c r="J113" s="34" t="s">
        <v>32</v>
      </c>
      <c r="K113" s="34" t="s">
        <v>41</v>
      </c>
      <c r="L113" s="34" t="s">
        <v>31</v>
      </c>
      <c r="M113" s="34" t="s">
        <v>32</v>
      </c>
      <c r="N113" s="34"/>
      <c r="O113" s="34"/>
      <c r="P113" s="34"/>
      <c r="Q113" s="34"/>
      <c r="R113" s="34"/>
      <c r="S113" s="34"/>
      <c r="T113" s="34"/>
      <c r="U113" s="34"/>
      <c r="V113" s="34"/>
      <c r="W113" s="34"/>
      <c r="X113" s="34"/>
      <c r="Y113" s="34"/>
      <c r="Z113" s="34"/>
      <c r="AA113" s="34"/>
      <c r="AB113" s="34"/>
      <c r="AC113" s="34"/>
      <c r="AD113" s="34"/>
      <c r="AE113" s="34"/>
    </row>
    <row r="114" ht="22.5" customHeight="1">
      <c r="A114" s="33">
        <v>2087433.0</v>
      </c>
      <c r="B114" s="34" t="s">
        <v>964</v>
      </c>
      <c r="C114" s="35">
        <v>5.515981278887E12</v>
      </c>
      <c r="D114" s="34" t="s">
        <v>173</v>
      </c>
      <c r="E114" s="36">
        <v>4690.6</v>
      </c>
      <c r="F114" s="34"/>
      <c r="G114" s="34"/>
      <c r="H114" s="34" t="s">
        <v>150</v>
      </c>
      <c r="I114" s="34" t="s">
        <v>31</v>
      </c>
      <c r="J114" s="34" t="s">
        <v>32</v>
      </c>
      <c r="K114" s="34" t="s">
        <v>41</v>
      </c>
      <c r="L114" s="34" t="s">
        <v>31</v>
      </c>
      <c r="M114" s="34" t="s">
        <v>32</v>
      </c>
      <c r="N114" s="34"/>
      <c r="O114" s="34"/>
      <c r="P114" s="34"/>
      <c r="Q114" s="34"/>
      <c r="R114" s="34"/>
      <c r="S114" s="34"/>
      <c r="T114" s="34"/>
      <c r="U114" s="34"/>
      <c r="V114" s="34"/>
      <c r="W114" s="34"/>
      <c r="X114" s="34"/>
      <c r="Y114" s="34"/>
      <c r="Z114" s="34"/>
      <c r="AA114" s="34"/>
      <c r="AB114" s="34"/>
      <c r="AC114" s="34"/>
      <c r="AD114" s="34"/>
      <c r="AE114" s="34"/>
    </row>
    <row r="115" ht="22.5" customHeight="1">
      <c r="A115" s="33">
        <v>2086969.0</v>
      </c>
      <c r="B115" s="34" t="s">
        <v>965</v>
      </c>
      <c r="C115" s="35">
        <v>5.515996358424E12</v>
      </c>
      <c r="D115" s="34" t="s">
        <v>58</v>
      </c>
      <c r="E115" s="36">
        <v>447.67</v>
      </c>
      <c r="F115" s="34"/>
      <c r="G115" s="34"/>
      <c r="H115" s="34" t="s">
        <v>150</v>
      </c>
      <c r="I115" s="34" t="s">
        <v>31</v>
      </c>
      <c r="J115" s="34" t="s">
        <v>32</v>
      </c>
      <c r="K115" s="34" t="s">
        <v>108</v>
      </c>
      <c r="L115" s="34" t="s">
        <v>31</v>
      </c>
      <c r="M115" s="34" t="s">
        <v>32</v>
      </c>
      <c r="N115" s="34" t="s">
        <v>37</v>
      </c>
      <c r="O115" s="34" t="s">
        <v>74</v>
      </c>
      <c r="P115" s="34" t="s">
        <v>32</v>
      </c>
      <c r="Q115" s="34"/>
      <c r="R115" s="34"/>
      <c r="S115" s="34"/>
      <c r="T115" s="34"/>
      <c r="U115" s="34"/>
      <c r="V115" s="34"/>
      <c r="W115" s="34"/>
      <c r="X115" s="34"/>
      <c r="Y115" s="34"/>
      <c r="Z115" s="34"/>
      <c r="AA115" s="34"/>
      <c r="AB115" s="34"/>
      <c r="AC115" s="34"/>
      <c r="AD115" s="34"/>
      <c r="AE115" s="34"/>
    </row>
    <row r="116" ht="22.5" customHeight="1">
      <c r="A116" s="33">
        <v>2106348.0</v>
      </c>
      <c r="B116" s="34" t="s">
        <v>744</v>
      </c>
      <c r="C116" s="35">
        <v>5.515996383184E12</v>
      </c>
      <c r="D116" s="34" t="s">
        <v>40</v>
      </c>
      <c r="E116" s="36">
        <v>4690.6</v>
      </c>
      <c r="F116" s="34"/>
      <c r="G116" s="34"/>
      <c r="H116" s="34" t="s">
        <v>150</v>
      </c>
      <c r="I116" s="34" t="s">
        <v>31</v>
      </c>
      <c r="J116" s="34" t="s">
        <v>32</v>
      </c>
      <c r="K116" s="34" t="s">
        <v>41</v>
      </c>
      <c r="L116" s="34" t="s">
        <v>31</v>
      </c>
      <c r="M116" s="34" t="s">
        <v>32</v>
      </c>
      <c r="N116" s="34"/>
      <c r="O116" s="34"/>
      <c r="P116" s="34"/>
      <c r="Q116" s="34"/>
      <c r="R116" s="34"/>
      <c r="S116" s="34"/>
      <c r="T116" s="34"/>
      <c r="U116" s="34"/>
      <c r="V116" s="34"/>
      <c r="W116" s="34"/>
      <c r="X116" s="34"/>
      <c r="Y116" s="34"/>
      <c r="Z116" s="34"/>
      <c r="AA116" s="34"/>
      <c r="AB116" s="34"/>
      <c r="AC116" s="34"/>
      <c r="AD116" s="34"/>
      <c r="AE116" s="34"/>
    </row>
    <row r="117" ht="22.5" customHeight="1">
      <c r="A117" s="33">
        <v>2105885.0</v>
      </c>
      <c r="B117" s="34" t="s">
        <v>966</v>
      </c>
      <c r="C117" s="35">
        <v>5.515997086418E12</v>
      </c>
      <c r="D117" s="34" t="s">
        <v>68</v>
      </c>
      <c r="E117" s="36">
        <v>644.89</v>
      </c>
      <c r="F117" s="34"/>
      <c r="G117" s="34"/>
      <c r="H117" s="34" t="s">
        <v>367</v>
      </c>
      <c r="I117" s="34" t="s">
        <v>50</v>
      </c>
      <c r="J117" s="34" t="s">
        <v>32</v>
      </c>
      <c r="K117" s="34" t="s">
        <v>108</v>
      </c>
      <c r="L117" s="34" t="s">
        <v>31</v>
      </c>
      <c r="M117" s="34" t="s">
        <v>32</v>
      </c>
      <c r="N117" s="34"/>
      <c r="O117" s="34"/>
      <c r="P117" s="34"/>
      <c r="Q117" s="34"/>
      <c r="R117" s="34"/>
      <c r="S117" s="34"/>
      <c r="T117" s="34"/>
      <c r="U117" s="34"/>
      <c r="V117" s="34"/>
      <c r="W117" s="34"/>
      <c r="X117" s="34"/>
      <c r="Y117" s="34"/>
      <c r="Z117" s="34"/>
      <c r="AA117" s="34"/>
      <c r="AB117" s="34"/>
      <c r="AC117" s="34"/>
      <c r="AD117" s="34"/>
      <c r="AE117" s="34"/>
    </row>
    <row r="118" ht="22.5" customHeight="1">
      <c r="A118" s="33">
        <v>2105403.0</v>
      </c>
      <c r="B118" s="34" t="s">
        <v>967</v>
      </c>
      <c r="C118" s="35">
        <v>5.51598126682E12</v>
      </c>
      <c r="D118" s="34" t="s">
        <v>360</v>
      </c>
      <c r="E118" s="36">
        <v>646.19</v>
      </c>
      <c r="F118" s="34"/>
      <c r="G118" s="34"/>
      <c r="H118" s="34" t="s">
        <v>150</v>
      </c>
      <c r="I118" s="34" t="s">
        <v>31</v>
      </c>
      <c r="J118" s="34" t="s">
        <v>32</v>
      </c>
      <c r="K118" s="34" t="s">
        <v>206</v>
      </c>
      <c r="L118" s="34" t="s">
        <v>31</v>
      </c>
      <c r="M118" s="34" t="s">
        <v>32</v>
      </c>
      <c r="N118" s="34"/>
      <c r="O118" s="34"/>
      <c r="P118" s="34"/>
      <c r="Q118" s="34"/>
      <c r="R118" s="34"/>
      <c r="S118" s="34"/>
      <c r="T118" s="34"/>
      <c r="U118" s="34"/>
      <c r="V118" s="34"/>
      <c r="W118" s="34"/>
      <c r="X118" s="34"/>
      <c r="Y118" s="34"/>
      <c r="Z118" s="34"/>
      <c r="AA118" s="34"/>
      <c r="AB118" s="34"/>
      <c r="AC118" s="34"/>
      <c r="AD118" s="34"/>
      <c r="AE118" s="34"/>
    </row>
    <row r="119" ht="22.5" customHeight="1">
      <c r="A119" s="33">
        <v>2105391.0</v>
      </c>
      <c r="B119" s="34" t="s">
        <v>967</v>
      </c>
      <c r="C119" s="35">
        <v>5.51598126682E12</v>
      </c>
      <c r="D119" s="34" t="s">
        <v>360</v>
      </c>
      <c r="E119" s="36">
        <v>646.19</v>
      </c>
      <c r="F119" s="34"/>
      <c r="G119" s="34"/>
      <c r="H119" s="34" t="s">
        <v>150</v>
      </c>
      <c r="I119" s="34" t="s">
        <v>31</v>
      </c>
      <c r="J119" s="34" t="s">
        <v>32</v>
      </c>
      <c r="K119" s="34" t="s">
        <v>206</v>
      </c>
      <c r="L119" s="34" t="s">
        <v>31</v>
      </c>
      <c r="M119" s="34" t="s">
        <v>32</v>
      </c>
      <c r="N119" s="34"/>
      <c r="O119" s="34"/>
      <c r="P119" s="34"/>
      <c r="Q119" s="34"/>
      <c r="R119" s="34"/>
      <c r="S119" s="34"/>
      <c r="T119" s="34"/>
      <c r="U119" s="34"/>
      <c r="V119" s="34"/>
      <c r="W119" s="34"/>
      <c r="X119" s="34"/>
      <c r="Y119" s="34"/>
      <c r="Z119" s="34"/>
      <c r="AA119" s="34"/>
      <c r="AB119" s="34"/>
      <c r="AC119" s="34"/>
      <c r="AD119" s="34"/>
      <c r="AE119" s="34"/>
    </row>
    <row r="120" ht="22.5" customHeight="1">
      <c r="A120" s="33">
        <v>2104607.0</v>
      </c>
      <c r="B120" s="34" t="s">
        <v>968</v>
      </c>
      <c r="C120" s="35">
        <v>5.515996082585E12</v>
      </c>
      <c r="D120" s="34" t="s">
        <v>40</v>
      </c>
      <c r="E120" s="36">
        <v>490.6</v>
      </c>
      <c r="F120" s="34"/>
      <c r="G120" s="34"/>
      <c r="H120" s="34" t="s">
        <v>150</v>
      </c>
      <c r="I120" s="34" t="s">
        <v>31</v>
      </c>
      <c r="J120" s="34" t="s">
        <v>32</v>
      </c>
      <c r="K120" s="34" t="s">
        <v>95</v>
      </c>
      <c r="L120" s="34" t="s">
        <v>44</v>
      </c>
      <c r="M120" s="34" t="s">
        <v>32</v>
      </c>
      <c r="N120" s="34"/>
      <c r="O120" s="34"/>
      <c r="P120" s="34"/>
      <c r="Q120" s="34"/>
      <c r="R120" s="34"/>
      <c r="S120" s="34"/>
      <c r="T120" s="34"/>
      <c r="U120" s="34"/>
      <c r="V120" s="34"/>
      <c r="W120" s="34"/>
      <c r="X120" s="34"/>
      <c r="Y120" s="34"/>
      <c r="Z120" s="34"/>
      <c r="AA120" s="34"/>
      <c r="AB120" s="34"/>
      <c r="AC120" s="34"/>
      <c r="AD120" s="34"/>
      <c r="AE120" s="34"/>
    </row>
    <row r="121" ht="22.5" customHeight="1">
      <c r="A121" s="33">
        <v>2104084.0</v>
      </c>
      <c r="B121" s="34" t="s">
        <v>911</v>
      </c>
      <c r="C121" s="35">
        <v>5.515991375059E12</v>
      </c>
      <c r="D121" s="34" t="s">
        <v>40</v>
      </c>
      <c r="E121" s="36">
        <v>4690.6</v>
      </c>
      <c r="F121" s="34"/>
      <c r="G121" s="34"/>
      <c r="H121" s="34" t="s">
        <v>150</v>
      </c>
      <c r="I121" s="34" t="s">
        <v>31</v>
      </c>
      <c r="J121" s="34" t="s">
        <v>32</v>
      </c>
      <c r="K121" s="34" t="s">
        <v>41</v>
      </c>
      <c r="L121" s="34" t="s">
        <v>31</v>
      </c>
      <c r="M121" s="34" t="s">
        <v>32</v>
      </c>
      <c r="N121" s="34"/>
      <c r="O121" s="34"/>
      <c r="P121" s="34"/>
      <c r="Q121" s="34"/>
      <c r="R121" s="34"/>
      <c r="S121" s="34"/>
      <c r="T121" s="34"/>
      <c r="U121" s="34"/>
      <c r="V121" s="34"/>
      <c r="W121" s="34"/>
      <c r="X121" s="34"/>
      <c r="Y121" s="34"/>
      <c r="Z121" s="34"/>
      <c r="AA121" s="34"/>
      <c r="AB121" s="34"/>
      <c r="AC121" s="34"/>
      <c r="AD121" s="34"/>
      <c r="AE121" s="34"/>
    </row>
    <row r="122" ht="22.5" customHeight="1">
      <c r="A122" s="33">
        <v>2103294.0</v>
      </c>
      <c r="B122" s="34" t="s">
        <v>969</v>
      </c>
      <c r="C122" s="35">
        <v>5.515991585763E12</v>
      </c>
      <c r="D122" s="34" t="s">
        <v>296</v>
      </c>
      <c r="E122" s="36">
        <v>4690.6</v>
      </c>
      <c r="F122" s="34"/>
      <c r="G122" s="34"/>
      <c r="H122" s="34" t="s">
        <v>150</v>
      </c>
      <c r="I122" s="34" t="s">
        <v>31</v>
      </c>
      <c r="J122" s="34" t="s">
        <v>32</v>
      </c>
      <c r="K122" s="34" t="s">
        <v>41</v>
      </c>
      <c r="L122" s="34" t="s">
        <v>31</v>
      </c>
      <c r="M122" s="34" t="s">
        <v>32</v>
      </c>
      <c r="N122" s="34"/>
      <c r="O122" s="34"/>
      <c r="P122" s="34"/>
      <c r="Q122" s="34"/>
      <c r="R122" s="34"/>
      <c r="S122" s="34"/>
      <c r="T122" s="34"/>
      <c r="U122" s="34"/>
      <c r="V122" s="34"/>
      <c r="W122" s="34"/>
      <c r="X122" s="34"/>
      <c r="Y122" s="34"/>
      <c r="Z122" s="34"/>
      <c r="AA122" s="34"/>
      <c r="AB122" s="34"/>
      <c r="AC122" s="34"/>
      <c r="AD122" s="34"/>
      <c r="AE122" s="34"/>
    </row>
    <row r="123" ht="22.5" customHeight="1">
      <c r="A123" s="33">
        <v>2099218.0</v>
      </c>
      <c r="B123" s="34" t="s">
        <v>970</v>
      </c>
      <c r="C123" s="35">
        <v>5.515998392078E12</v>
      </c>
      <c r="D123" s="34" t="s">
        <v>360</v>
      </c>
      <c r="E123" s="36">
        <v>294.62</v>
      </c>
      <c r="F123" s="34"/>
      <c r="G123" s="34"/>
      <c r="H123" s="34" t="s">
        <v>150</v>
      </c>
      <c r="I123" s="34" t="s">
        <v>31</v>
      </c>
      <c r="J123" s="34" t="s">
        <v>32</v>
      </c>
      <c r="K123" s="34" t="s">
        <v>36</v>
      </c>
      <c r="L123" s="34" t="s">
        <v>31</v>
      </c>
      <c r="M123" s="34" t="s">
        <v>32</v>
      </c>
      <c r="N123" s="34" t="s">
        <v>37</v>
      </c>
      <c r="O123" s="34" t="s">
        <v>38</v>
      </c>
      <c r="P123" s="34" t="s">
        <v>32</v>
      </c>
      <c r="Q123" s="34"/>
      <c r="R123" s="34"/>
      <c r="S123" s="34"/>
      <c r="T123" s="34"/>
      <c r="U123" s="34"/>
      <c r="V123" s="34"/>
      <c r="W123" s="34"/>
      <c r="X123" s="34"/>
      <c r="Y123" s="34"/>
      <c r="Z123" s="34"/>
      <c r="AA123" s="34"/>
      <c r="AB123" s="34"/>
      <c r="AC123" s="34"/>
      <c r="AD123" s="34"/>
      <c r="AE123" s="34"/>
    </row>
    <row r="124" ht="22.5" customHeight="1">
      <c r="A124" s="33">
        <v>2098462.0</v>
      </c>
      <c r="B124" s="34" t="s">
        <v>914</v>
      </c>
      <c r="C124" s="35">
        <v>5.515996967555E12</v>
      </c>
      <c r="D124" s="34" t="s">
        <v>29</v>
      </c>
      <c r="E124" s="36">
        <v>159.46</v>
      </c>
      <c r="F124" s="34"/>
      <c r="G124" s="34"/>
      <c r="H124" s="34" t="s">
        <v>150</v>
      </c>
      <c r="I124" s="34" t="s">
        <v>31</v>
      </c>
      <c r="J124" s="34" t="s">
        <v>32</v>
      </c>
      <c r="K124" s="34" t="s">
        <v>37</v>
      </c>
      <c r="L124" s="34" t="s">
        <v>74</v>
      </c>
      <c r="M124" s="34" t="s">
        <v>32</v>
      </c>
      <c r="N124" s="34"/>
      <c r="O124" s="34"/>
      <c r="P124" s="34"/>
      <c r="Q124" s="34"/>
      <c r="R124" s="34"/>
      <c r="S124" s="34"/>
      <c r="T124" s="34"/>
      <c r="U124" s="34"/>
      <c r="V124" s="34"/>
      <c r="W124" s="34"/>
      <c r="X124" s="34"/>
      <c r="Y124" s="34"/>
      <c r="Z124" s="34"/>
      <c r="AA124" s="34"/>
      <c r="AB124" s="34"/>
      <c r="AC124" s="34"/>
      <c r="AD124" s="34"/>
      <c r="AE124" s="34"/>
    </row>
    <row r="125" ht="22.5" customHeight="1">
      <c r="A125" s="33">
        <v>2097784.0</v>
      </c>
      <c r="B125" s="34" t="s">
        <v>971</v>
      </c>
      <c r="C125" s="35">
        <v>5.51599662682E12</v>
      </c>
      <c r="D125" s="34" t="s">
        <v>40</v>
      </c>
      <c r="E125" s="36">
        <v>1724.5</v>
      </c>
      <c r="F125" s="34"/>
      <c r="G125" s="34"/>
      <c r="H125" s="34" t="s">
        <v>150</v>
      </c>
      <c r="I125" s="34" t="s">
        <v>31</v>
      </c>
      <c r="J125" s="34" t="s">
        <v>32</v>
      </c>
      <c r="K125" s="34" t="s">
        <v>130</v>
      </c>
      <c r="L125" s="34" t="s">
        <v>139</v>
      </c>
      <c r="M125" s="34" t="s">
        <v>32</v>
      </c>
      <c r="N125" s="34" t="s">
        <v>133</v>
      </c>
      <c r="O125" s="34" t="s">
        <v>139</v>
      </c>
      <c r="P125" s="34" t="s">
        <v>32</v>
      </c>
      <c r="Q125" s="34"/>
      <c r="R125" s="34"/>
      <c r="S125" s="34"/>
      <c r="T125" s="34"/>
      <c r="U125" s="34"/>
      <c r="V125" s="34"/>
      <c r="W125" s="34"/>
      <c r="X125" s="34"/>
      <c r="Y125" s="34"/>
      <c r="Z125" s="34"/>
      <c r="AA125" s="34"/>
      <c r="AB125" s="34"/>
      <c r="AC125" s="34"/>
      <c r="AD125" s="34"/>
      <c r="AE125" s="34"/>
    </row>
    <row r="126" ht="22.5" customHeight="1">
      <c r="A126" s="33">
        <v>2097185.0</v>
      </c>
      <c r="B126" s="34" t="s">
        <v>972</v>
      </c>
      <c r="C126" s="35">
        <v>5.515981800312E12</v>
      </c>
      <c r="D126" s="34" t="s">
        <v>40</v>
      </c>
      <c r="E126" s="36">
        <v>294.62</v>
      </c>
      <c r="F126" s="34"/>
      <c r="G126" s="34"/>
      <c r="H126" s="34" t="s">
        <v>150</v>
      </c>
      <c r="I126" s="34" t="s">
        <v>31</v>
      </c>
      <c r="J126" s="34" t="s">
        <v>32</v>
      </c>
      <c r="K126" s="34" t="s">
        <v>36</v>
      </c>
      <c r="L126" s="34" t="s">
        <v>31</v>
      </c>
      <c r="M126" s="34" t="s">
        <v>32</v>
      </c>
      <c r="N126" s="34" t="s">
        <v>37</v>
      </c>
      <c r="O126" s="34" t="s">
        <v>92</v>
      </c>
      <c r="P126" s="34" t="s">
        <v>32</v>
      </c>
      <c r="Q126" s="34"/>
      <c r="R126" s="34"/>
      <c r="S126" s="34"/>
      <c r="T126" s="34"/>
      <c r="U126" s="34"/>
      <c r="V126" s="34"/>
      <c r="W126" s="34"/>
      <c r="X126" s="34"/>
      <c r="Y126" s="34"/>
      <c r="Z126" s="34"/>
      <c r="AA126" s="34"/>
      <c r="AB126" s="34"/>
      <c r="AC126" s="34"/>
      <c r="AD126" s="34"/>
      <c r="AE126" s="34"/>
    </row>
    <row r="127" ht="22.5" customHeight="1">
      <c r="A127" s="33">
        <v>2092791.0</v>
      </c>
      <c r="B127" s="34" t="s">
        <v>973</v>
      </c>
      <c r="C127" s="35">
        <v>5.515992576469E12</v>
      </c>
      <c r="D127" s="34" t="s">
        <v>58</v>
      </c>
      <c r="E127" s="36">
        <v>5518.6</v>
      </c>
      <c r="F127" s="34"/>
      <c r="G127" s="34"/>
      <c r="H127" s="34" t="s">
        <v>82</v>
      </c>
      <c r="I127" s="34" t="s">
        <v>44</v>
      </c>
      <c r="J127" s="34" t="s">
        <v>32</v>
      </c>
      <c r="K127" s="34" t="s">
        <v>150</v>
      </c>
      <c r="L127" s="34" t="s">
        <v>31</v>
      </c>
      <c r="M127" s="34" t="s">
        <v>32</v>
      </c>
      <c r="N127" s="34" t="s">
        <v>108</v>
      </c>
      <c r="O127" s="34" t="s">
        <v>31</v>
      </c>
      <c r="P127" s="34" t="s">
        <v>32</v>
      </c>
      <c r="Q127" s="34" t="s">
        <v>36</v>
      </c>
      <c r="R127" s="34" t="s">
        <v>31</v>
      </c>
      <c r="S127" s="34" t="s">
        <v>32</v>
      </c>
      <c r="T127" s="34" t="s">
        <v>37</v>
      </c>
      <c r="U127" s="34" t="s">
        <v>131</v>
      </c>
      <c r="V127" s="34" t="s">
        <v>32</v>
      </c>
      <c r="W127" s="34" t="s">
        <v>41</v>
      </c>
      <c r="X127" s="34" t="s">
        <v>31</v>
      </c>
      <c r="Y127" s="34" t="s">
        <v>32</v>
      </c>
      <c r="Z127" s="34"/>
      <c r="AA127" s="34"/>
      <c r="AB127" s="34"/>
      <c r="AC127" s="34"/>
      <c r="AD127" s="34"/>
      <c r="AE127" s="34"/>
    </row>
    <row r="128" ht="22.5" customHeight="1">
      <c r="A128" s="33">
        <v>2092080.0</v>
      </c>
      <c r="B128" s="34" t="s">
        <v>968</v>
      </c>
      <c r="C128" s="35">
        <v>5.515996082585E12</v>
      </c>
      <c r="D128" s="34" t="s">
        <v>360</v>
      </c>
      <c r="E128" s="36">
        <v>593.57</v>
      </c>
      <c r="F128" s="34"/>
      <c r="G128" s="34"/>
      <c r="H128" s="34" t="s">
        <v>150</v>
      </c>
      <c r="I128" s="34" t="s">
        <v>31</v>
      </c>
      <c r="J128" s="34" t="s">
        <v>32</v>
      </c>
      <c r="K128" s="34" t="s">
        <v>108</v>
      </c>
      <c r="L128" s="34" t="s">
        <v>31</v>
      </c>
      <c r="M128" s="34" t="s">
        <v>32</v>
      </c>
      <c r="N128" s="34" t="s">
        <v>37</v>
      </c>
      <c r="O128" s="34" t="s">
        <v>147</v>
      </c>
      <c r="P128" s="34" t="s">
        <v>56</v>
      </c>
      <c r="Q128" s="34"/>
      <c r="R128" s="34"/>
      <c r="S128" s="34"/>
      <c r="T128" s="34"/>
      <c r="U128" s="34"/>
      <c r="V128" s="34"/>
      <c r="W128" s="34"/>
      <c r="X128" s="34"/>
      <c r="Y128" s="34"/>
      <c r="Z128" s="34"/>
      <c r="AA128" s="34"/>
      <c r="AB128" s="34"/>
      <c r="AC128" s="34"/>
      <c r="AD128" s="34"/>
      <c r="AE128" s="34"/>
    </row>
    <row r="129" ht="22.5" customHeight="1">
      <c r="A129" s="33">
        <v>2091222.0</v>
      </c>
      <c r="B129" s="34" t="s">
        <v>80</v>
      </c>
      <c r="C129" s="35">
        <v>5.515998116328E12</v>
      </c>
      <c r="D129" s="34" t="s">
        <v>360</v>
      </c>
      <c r="E129" s="36">
        <v>6386.63</v>
      </c>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row>
    <row r="130" ht="22.5" customHeight="1">
      <c r="A130" s="33">
        <v>2090902.0</v>
      </c>
      <c r="B130" s="34" t="s">
        <v>974</v>
      </c>
      <c r="C130" s="35">
        <v>5.515988068132E12</v>
      </c>
      <c r="D130" s="34" t="s">
        <v>173</v>
      </c>
      <c r="E130" s="36">
        <v>262.08</v>
      </c>
      <c r="F130" s="34"/>
      <c r="G130" s="34"/>
      <c r="H130" s="34" t="s">
        <v>150</v>
      </c>
      <c r="I130" s="34" t="s">
        <v>31</v>
      </c>
      <c r="J130" s="34" t="s">
        <v>32</v>
      </c>
      <c r="K130" s="34" t="s">
        <v>108</v>
      </c>
      <c r="L130" s="34" t="s">
        <v>31</v>
      </c>
      <c r="M130" s="34" t="s">
        <v>32</v>
      </c>
      <c r="N130" s="34"/>
      <c r="O130" s="34"/>
      <c r="P130" s="34"/>
      <c r="Q130" s="34"/>
      <c r="R130" s="34"/>
      <c r="S130" s="34"/>
      <c r="T130" s="34"/>
      <c r="U130" s="34"/>
      <c r="V130" s="34"/>
      <c r="W130" s="34"/>
      <c r="X130" s="34"/>
      <c r="Y130" s="34"/>
      <c r="Z130" s="34"/>
      <c r="AA130" s="34"/>
      <c r="AB130" s="34"/>
      <c r="AC130" s="34"/>
      <c r="AD130" s="34"/>
      <c r="AE130" s="34"/>
    </row>
    <row r="131" ht="22.5" customHeight="1">
      <c r="A131" s="33">
        <v>2090387.0</v>
      </c>
      <c r="B131" s="34" t="s">
        <v>975</v>
      </c>
      <c r="C131" s="35">
        <v>5.515996658767E12</v>
      </c>
      <c r="D131" s="34" t="s">
        <v>360</v>
      </c>
      <c r="E131" s="36">
        <v>2548.32</v>
      </c>
      <c r="F131" s="34"/>
      <c r="G131" s="34"/>
      <c r="H131" s="34" t="s">
        <v>150</v>
      </c>
      <c r="I131" s="34" t="s">
        <v>31</v>
      </c>
      <c r="J131" s="34" t="s">
        <v>32</v>
      </c>
      <c r="K131" s="34" t="s">
        <v>91</v>
      </c>
      <c r="L131" s="34" t="s">
        <v>204</v>
      </c>
      <c r="M131" s="34" t="s">
        <v>32</v>
      </c>
      <c r="N131" s="34" t="s">
        <v>206</v>
      </c>
      <c r="O131" s="34" t="s">
        <v>31</v>
      </c>
      <c r="P131" s="34" t="s">
        <v>32</v>
      </c>
      <c r="Q131" s="34" t="s">
        <v>143</v>
      </c>
      <c r="R131" s="34" t="s">
        <v>44</v>
      </c>
      <c r="S131" s="34" t="s">
        <v>32</v>
      </c>
      <c r="T131" s="34"/>
      <c r="U131" s="34"/>
      <c r="V131" s="34"/>
      <c r="W131" s="34"/>
      <c r="X131" s="34"/>
      <c r="Y131" s="34"/>
      <c r="Z131" s="34"/>
      <c r="AA131" s="34"/>
      <c r="AB131" s="34"/>
      <c r="AC131" s="34"/>
      <c r="AD131" s="34"/>
      <c r="AE131" s="34"/>
    </row>
    <row r="132" ht="22.5" customHeight="1">
      <c r="A132" s="33">
        <v>2090357.0</v>
      </c>
      <c r="B132" s="34" t="s">
        <v>80</v>
      </c>
      <c r="C132" s="35">
        <v>5.515998116328E12</v>
      </c>
      <c r="D132" s="34" t="s">
        <v>360</v>
      </c>
      <c r="E132" s="36">
        <v>7338.13</v>
      </c>
      <c r="F132" s="34"/>
      <c r="G132" s="34"/>
      <c r="H132" s="34" t="s">
        <v>150</v>
      </c>
      <c r="I132" s="34" t="s">
        <v>31</v>
      </c>
      <c r="J132" s="34" t="s">
        <v>32</v>
      </c>
      <c r="K132" s="34" t="s">
        <v>255</v>
      </c>
      <c r="L132" s="34" t="s">
        <v>976</v>
      </c>
      <c r="M132" s="34" t="s">
        <v>70</v>
      </c>
      <c r="N132" s="34" t="s">
        <v>62</v>
      </c>
      <c r="O132" s="34" t="s">
        <v>84</v>
      </c>
      <c r="P132" s="34" t="s">
        <v>32</v>
      </c>
      <c r="Q132" s="34"/>
      <c r="R132" s="34"/>
      <c r="S132" s="34"/>
      <c r="T132" s="34"/>
      <c r="U132" s="34"/>
      <c r="V132" s="34"/>
      <c r="W132" s="34"/>
      <c r="X132" s="34"/>
      <c r="Y132" s="34"/>
      <c r="Z132" s="34"/>
      <c r="AA132" s="34"/>
      <c r="AB132" s="34"/>
      <c r="AC132" s="34"/>
      <c r="AD132" s="34"/>
      <c r="AE132" s="34"/>
    </row>
    <row r="133" ht="22.5" customHeight="1">
      <c r="A133" s="33">
        <v>2089418.0</v>
      </c>
      <c r="B133" s="34" t="s">
        <v>57</v>
      </c>
      <c r="C133" s="35">
        <v>5.515988145756E12</v>
      </c>
      <c r="D133" s="34" t="s">
        <v>58</v>
      </c>
      <c r="E133" s="36">
        <v>7940.84</v>
      </c>
      <c r="F133" s="34"/>
      <c r="G133" s="34"/>
      <c r="H133" s="34" t="s">
        <v>33</v>
      </c>
      <c r="I133" s="34" t="s">
        <v>977</v>
      </c>
      <c r="J133" s="34" t="s">
        <v>61</v>
      </c>
      <c r="K133" s="34" t="s">
        <v>35</v>
      </c>
      <c r="L133" s="34" t="s">
        <v>977</v>
      </c>
      <c r="M133" s="34" t="s">
        <v>61</v>
      </c>
      <c r="N133" s="34"/>
      <c r="O133" s="34"/>
      <c r="P133" s="34"/>
      <c r="Q133" s="34"/>
      <c r="R133" s="34"/>
      <c r="S133" s="34"/>
      <c r="T133" s="34"/>
      <c r="U133" s="34"/>
      <c r="V133" s="34"/>
      <c r="W133" s="34"/>
      <c r="X133" s="34"/>
      <c r="Y133" s="34"/>
      <c r="Z133" s="34"/>
      <c r="AA133" s="34"/>
      <c r="AB133" s="34"/>
      <c r="AC133" s="34"/>
      <c r="AD133" s="34"/>
      <c r="AE133" s="34"/>
    </row>
    <row r="134" ht="22.5" customHeight="1">
      <c r="A134" s="33">
        <v>2088219.0</v>
      </c>
      <c r="B134" s="34" t="s">
        <v>961</v>
      </c>
      <c r="C134" s="35">
        <v>5.515992494576E12</v>
      </c>
      <c r="D134" s="34" t="s">
        <v>68</v>
      </c>
      <c r="E134" s="36">
        <v>4690.6</v>
      </c>
      <c r="F134" s="34"/>
      <c r="G134" s="34"/>
      <c r="H134" s="34" t="s">
        <v>41</v>
      </c>
      <c r="I134" s="34" t="s">
        <v>31</v>
      </c>
      <c r="J134" s="34" t="s">
        <v>32</v>
      </c>
      <c r="K134" s="34"/>
      <c r="L134" s="34"/>
      <c r="M134" s="34"/>
      <c r="N134" s="34"/>
      <c r="O134" s="34"/>
      <c r="P134" s="34"/>
      <c r="Q134" s="34"/>
      <c r="R134" s="34"/>
      <c r="S134" s="34"/>
      <c r="T134" s="34"/>
      <c r="U134" s="34"/>
      <c r="V134" s="34"/>
      <c r="W134" s="34"/>
      <c r="X134" s="34"/>
      <c r="Y134" s="34"/>
      <c r="Z134" s="34"/>
      <c r="AA134" s="34"/>
      <c r="AB134" s="34"/>
      <c r="AC134" s="34"/>
      <c r="AD134" s="34"/>
      <c r="AE134" s="34"/>
    </row>
    <row r="135" ht="22.5" customHeight="1">
      <c r="A135" s="33">
        <v>2087510.0</v>
      </c>
      <c r="B135" s="34" t="s">
        <v>978</v>
      </c>
      <c r="C135" s="35">
        <v>5.515981651967E12</v>
      </c>
      <c r="D135" s="34" t="s">
        <v>173</v>
      </c>
      <c r="E135" s="36">
        <v>702.4</v>
      </c>
      <c r="F135" s="34"/>
      <c r="G135" s="34"/>
      <c r="H135" s="34" t="s">
        <v>150</v>
      </c>
      <c r="I135" s="34" t="s">
        <v>31</v>
      </c>
      <c r="J135" s="34" t="s">
        <v>32</v>
      </c>
      <c r="K135" s="34" t="s">
        <v>59</v>
      </c>
      <c r="L135" s="34" t="s">
        <v>126</v>
      </c>
      <c r="M135" s="34" t="s">
        <v>32</v>
      </c>
      <c r="N135" s="34" t="s">
        <v>108</v>
      </c>
      <c r="O135" s="34" t="s">
        <v>31</v>
      </c>
      <c r="P135" s="34" t="s">
        <v>32</v>
      </c>
      <c r="Q135" s="34"/>
      <c r="R135" s="34"/>
      <c r="S135" s="34"/>
      <c r="T135" s="34"/>
      <c r="U135" s="34"/>
      <c r="V135" s="34"/>
      <c r="W135" s="34"/>
      <c r="X135" s="34"/>
      <c r="Y135" s="34"/>
      <c r="Z135" s="34"/>
      <c r="AA135" s="34"/>
      <c r="AB135" s="34"/>
      <c r="AC135" s="34"/>
      <c r="AD135" s="34"/>
      <c r="AE135" s="34"/>
    </row>
    <row r="136" ht="22.5" customHeight="1">
      <c r="A136" s="29"/>
      <c r="B136" s="29"/>
      <c r="C136" s="29"/>
      <c r="D136" s="16" t="s">
        <v>979</v>
      </c>
      <c r="E136" s="37">
        <f>SUM(E2:E135)</f>
        <v>544824.83</v>
      </c>
      <c r="F136" s="18"/>
      <c r="G136" s="18"/>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row>
  </sheetData>
  <dataValidations>
    <dataValidation type="custom" allowBlank="1" showDropDown="1" sqref="E2:E136">
      <formula1>AND(ISNUMBER(E2),(NOT(OR(NOT(ISERROR(DATEVALUE(E2))), AND(ISNUMBER(E2), LEFT(CELL("format", E2))="D")))))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3" max="3" width="16.43"/>
  </cols>
  <sheetData>
    <row r="1" ht="22.5" customHeight="1">
      <c r="A1" s="38" t="s">
        <v>0</v>
      </c>
      <c r="B1" s="38" t="s">
        <v>1</v>
      </c>
      <c r="C1" s="38" t="s">
        <v>2</v>
      </c>
      <c r="D1" s="38" t="s">
        <v>3</v>
      </c>
      <c r="E1" s="38" t="s">
        <v>4</v>
      </c>
      <c r="F1" s="38" t="s">
        <v>5</v>
      </c>
      <c r="G1" s="38" t="s">
        <v>6</v>
      </c>
      <c r="H1" s="38" t="s">
        <v>7</v>
      </c>
      <c r="I1" s="38" t="s">
        <v>8</v>
      </c>
      <c r="J1" s="38" t="s">
        <v>9</v>
      </c>
      <c r="K1" s="38" t="s">
        <v>10</v>
      </c>
      <c r="L1" s="38" t="s">
        <v>11</v>
      </c>
      <c r="M1" s="38" t="s">
        <v>12</v>
      </c>
      <c r="N1" s="38" t="s">
        <v>13</v>
      </c>
      <c r="O1" s="38" t="s">
        <v>14</v>
      </c>
      <c r="P1" s="38" t="s">
        <v>15</v>
      </c>
      <c r="Q1" s="38" t="s">
        <v>16</v>
      </c>
      <c r="R1" s="38" t="s">
        <v>17</v>
      </c>
      <c r="S1" s="38" t="s">
        <v>18</v>
      </c>
      <c r="T1" s="38" t="s">
        <v>19</v>
      </c>
      <c r="U1" s="38" t="s">
        <v>20</v>
      </c>
      <c r="V1" s="38" t="s">
        <v>21</v>
      </c>
      <c r="W1" s="38" t="s">
        <v>22</v>
      </c>
      <c r="X1" s="38" t="s">
        <v>23</v>
      </c>
      <c r="Y1" s="38" t="s">
        <v>24</v>
      </c>
      <c r="Z1" s="38" t="s">
        <v>25</v>
      </c>
      <c r="AA1" s="38" t="s">
        <v>26</v>
      </c>
      <c r="AB1" s="38" t="s">
        <v>27</v>
      </c>
      <c r="AC1" s="38" t="s">
        <v>340</v>
      </c>
      <c r="AD1" s="38" t="s">
        <v>341</v>
      </c>
      <c r="AE1" s="38" t="s">
        <v>342</v>
      </c>
    </row>
    <row r="2" ht="22.5" customHeight="1">
      <c r="A2" s="29" t="s">
        <v>980</v>
      </c>
      <c r="B2" s="29" t="s">
        <v>981</v>
      </c>
      <c r="C2" s="30">
        <v>5.513996230046E12</v>
      </c>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row>
    <row r="3" ht="22.5" customHeight="1">
      <c r="A3" s="29" t="s">
        <v>982</v>
      </c>
      <c r="B3" s="29" t="s">
        <v>983</v>
      </c>
      <c r="C3" s="30">
        <v>5.51599704055E12</v>
      </c>
      <c r="D3" s="29"/>
      <c r="E3" s="29"/>
      <c r="F3" s="29"/>
      <c r="G3" s="29"/>
      <c r="H3" s="29" t="s">
        <v>252</v>
      </c>
      <c r="I3" s="29" t="s">
        <v>270</v>
      </c>
      <c r="J3" s="29" t="s">
        <v>271</v>
      </c>
      <c r="K3" s="29"/>
      <c r="L3" s="29"/>
      <c r="M3" s="29"/>
      <c r="N3" s="29"/>
      <c r="O3" s="29"/>
      <c r="P3" s="29"/>
      <c r="Q3" s="29"/>
      <c r="R3" s="29"/>
      <c r="S3" s="29"/>
      <c r="T3" s="29"/>
      <c r="U3" s="29"/>
      <c r="V3" s="29"/>
      <c r="W3" s="29"/>
      <c r="X3" s="29"/>
      <c r="Y3" s="29"/>
      <c r="Z3" s="29"/>
      <c r="AA3" s="29"/>
      <c r="AB3" s="29"/>
      <c r="AC3" s="29"/>
      <c r="AD3" s="29"/>
      <c r="AE3" s="29"/>
    </row>
    <row r="4" ht="22.5" customHeight="1">
      <c r="A4" s="29" t="s">
        <v>984</v>
      </c>
      <c r="B4" s="29" t="s">
        <v>985</v>
      </c>
      <c r="C4" s="30">
        <v>5.515998419238E12</v>
      </c>
      <c r="D4" s="29"/>
      <c r="E4" s="29"/>
      <c r="F4" s="29"/>
      <c r="G4" s="29"/>
      <c r="H4" s="29"/>
      <c r="I4" s="29"/>
      <c r="J4" s="29"/>
      <c r="K4" s="29"/>
      <c r="L4" s="29"/>
      <c r="M4" s="29"/>
      <c r="N4" s="29"/>
      <c r="O4" s="29"/>
      <c r="P4" s="29"/>
      <c r="Q4" s="29"/>
      <c r="R4" s="29"/>
      <c r="S4" s="29"/>
      <c r="T4" s="29"/>
      <c r="U4" s="29"/>
      <c r="V4" s="29"/>
      <c r="W4" s="29"/>
      <c r="X4" s="29"/>
      <c r="Y4" s="29"/>
      <c r="Z4" s="29"/>
      <c r="AA4" s="29"/>
      <c r="AB4" s="29"/>
      <c r="AC4" s="29"/>
      <c r="AD4" s="29"/>
      <c r="AE4" s="29"/>
    </row>
    <row r="5" ht="22.5" customHeight="1">
      <c r="A5" s="29" t="s">
        <v>986</v>
      </c>
      <c r="B5" s="29" t="s">
        <v>987</v>
      </c>
      <c r="C5" s="30">
        <v>5.515996521673E12</v>
      </c>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row>
    <row r="6" ht="22.5" customHeight="1">
      <c r="A6" s="29" t="s">
        <v>988</v>
      </c>
      <c r="B6" s="29" t="s">
        <v>989</v>
      </c>
      <c r="C6" s="30">
        <v>5.515981355021E12</v>
      </c>
      <c r="D6" s="29"/>
      <c r="E6" s="29"/>
      <c r="F6" s="29"/>
      <c r="G6" s="29"/>
      <c r="H6" s="29" t="s">
        <v>150</v>
      </c>
      <c r="I6" s="29" t="s">
        <v>31</v>
      </c>
      <c r="J6" s="29" t="s">
        <v>32</v>
      </c>
      <c r="K6" s="29" t="s">
        <v>33</v>
      </c>
      <c r="L6" s="29" t="s">
        <v>34</v>
      </c>
      <c r="M6" s="29" t="s">
        <v>32</v>
      </c>
      <c r="N6" s="29" t="s">
        <v>35</v>
      </c>
      <c r="O6" s="29" t="s">
        <v>990</v>
      </c>
      <c r="P6" s="29" t="s">
        <v>61</v>
      </c>
      <c r="Q6" s="29" t="s">
        <v>108</v>
      </c>
      <c r="R6" s="29" t="s">
        <v>31</v>
      </c>
      <c r="S6" s="29" t="s">
        <v>32</v>
      </c>
      <c r="T6" s="29" t="s">
        <v>48</v>
      </c>
      <c r="U6" s="29" t="s">
        <v>991</v>
      </c>
      <c r="V6" s="29" t="s">
        <v>61</v>
      </c>
      <c r="W6" s="29" t="s">
        <v>36</v>
      </c>
      <c r="X6" s="29" t="s">
        <v>31</v>
      </c>
      <c r="Y6" s="29" t="s">
        <v>32</v>
      </c>
      <c r="Z6" s="29" t="s">
        <v>37</v>
      </c>
      <c r="AA6" s="29" t="s">
        <v>992</v>
      </c>
      <c r="AB6" s="29" t="s">
        <v>61</v>
      </c>
      <c r="AC6" s="29"/>
      <c r="AD6" s="29"/>
      <c r="AE6" s="29"/>
    </row>
    <row r="7" ht="22.5" customHeight="1">
      <c r="A7" s="29" t="s">
        <v>993</v>
      </c>
      <c r="B7" s="29" t="s">
        <v>994</v>
      </c>
      <c r="C7" s="30">
        <v>5.515988024773E12</v>
      </c>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row>
    <row r="8" ht="22.5" customHeight="1">
      <c r="A8" s="29" t="s">
        <v>995</v>
      </c>
      <c r="B8" s="29" t="s">
        <v>996</v>
      </c>
      <c r="C8" s="30">
        <v>5.515996162437E12</v>
      </c>
      <c r="D8" s="29"/>
      <c r="E8" s="29"/>
      <c r="F8" s="29"/>
      <c r="G8" s="29"/>
      <c r="H8" s="29" t="s">
        <v>150</v>
      </c>
      <c r="I8" s="29" t="s">
        <v>31</v>
      </c>
      <c r="J8" s="29" t="s">
        <v>32</v>
      </c>
      <c r="K8" s="29" t="s">
        <v>35</v>
      </c>
      <c r="L8" s="29" t="s">
        <v>997</v>
      </c>
      <c r="M8" s="29" t="s">
        <v>70</v>
      </c>
      <c r="N8" s="29" t="s">
        <v>277</v>
      </c>
      <c r="O8" s="29" t="s">
        <v>50</v>
      </c>
      <c r="P8" s="29" t="s">
        <v>32</v>
      </c>
      <c r="Q8" s="29" t="s">
        <v>165</v>
      </c>
      <c r="R8" s="29" t="s">
        <v>44</v>
      </c>
      <c r="S8" s="29" t="s">
        <v>32</v>
      </c>
      <c r="T8" s="29"/>
      <c r="U8" s="29"/>
      <c r="V8" s="29"/>
      <c r="W8" s="29"/>
      <c r="X8" s="29"/>
      <c r="Y8" s="29"/>
      <c r="Z8" s="29"/>
      <c r="AA8" s="29"/>
      <c r="AB8" s="29"/>
      <c r="AC8" s="29"/>
      <c r="AD8" s="29"/>
      <c r="AE8" s="29"/>
    </row>
    <row r="9" ht="22.5" customHeight="1">
      <c r="A9" s="29" t="s">
        <v>998</v>
      </c>
      <c r="B9" s="29" t="s">
        <v>999</v>
      </c>
      <c r="C9" s="30">
        <v>5.515997000595E12</v>
      </c>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row>
    <row r="10" ht="22.5" customHeight="1">
      <c r="A10" s="29" t="s">
        <v>1000</v>
      </c>
      <c r="B10" s="29" t="s">
        <v>967</v>
      </c>
      <c r="C10" s="30">
        <v>5.51598126682E12</v>
      </c>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row>
    <row r="11" ht="22.5" customHeight="1">
      <c r="A11" s="29" t="s">
        <v>1001</v>
      </c>
      <c r="B11" s="29" t="s">
        <v>1002</v>
      </c>
      <c r="C11" s="30">
        <v>5.5159818389E12</v>
      </c>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row>
    <row r="12" ht="22.5" customHeight="1">
      <c r="A12" s="29" t="s">
        <v>1003</v>
      </c>
      <c r="B12" s="29" t="s">
        <v>1004</v>
      </c>
      <c r="C12" s="30">
        <v>5.515998440843E12</v>
      </c>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row>
    <row r="13" ht="22.5" customHeight="1">
      <c r="A13" s="29" t="s">
        <v>1005</v>
      </c>
      <c r="B13" s="29" t="s">
        <v>1006</v>
      </c>
      <c r="C13" s="30">
        <v>5.515998187394E12</v>
      </c>
      <c r="D13" s="29"/>
      <c r="E13" s="29"/>
      <c r="F13" s="29"/>
      <c r="G13" s="29"/>
      <c r="H13" s="29" t="s">
        <v>33</v>
      </c>
      <c r="I13" s="29" t="s">
        <v>1007</v>
      </c>
      <c r="J13" s="29" t="s">
        <v>70</v>
      </c>
      <c r="K13" s="29" t="s">
        <v>91</v>
      </c>
      <c r="L13" s="29" t="s">
        <v>431</v>
      </c>
      <c r="M13" s="29" t="s">
        <v>32</v>
      </c>
      <c r="N13" s="29" t="s">
        <v>35</v>
      </c>
      <c r="O13" s="29" t="s">
        <v>1007</v>
      </c>
      <c r="P13" s="29" t="s">
        <v>70</v>
      </c>
      <c r="Q13" s="29" t="s">
        <v>108</v>
      </c>
      <c r="R13" s="29" t="s">
        <v>31</v>
      </c>
      <c r="S13" s="29" t="s">
        <v>32</v>
      </c>
      <c r="T13" s="29" t="s">
        <v>37</v>
      </c>
      <c r="U13" s="29" t="s">
        <v>1008</v>
      </c>
      <c r="V13" s="29" t="s">
        <v>170</v>
      </c>
      <c r="W13" s="29"/>
      <c r="X13" s="29"/>
      <c r="Y13" s="29"/>
      <c r="Z13" s="29"/>
      <c r="AA13" s="29"/>
      <c r="AB13" s="29"/>
      <c r="AC13" s="29"/>
      <c r="AD13" s="29"/>
      <c r="AE13" s="29"/>
    </row>
    <row r="14" ht="22.5" customHeight="1">
      <c r="A14" s="29" t="s">
        <v>1009</v>
      </c>
      <c r="B14" s="29" t="s">
        <v>1010</v>
      </c>
      <c r="C14" s="30">
        <v>5.515997079191E12</v>
      </c>
      <c r="D14" s="29"/>
      <c r="E14" s="29"/>
      <c r="F14" s="29"/>
      <c r="G14" s="29"/>
      <c r="H14" s="29" t="s">
        <v>150</v>
      </c>
      <c r="I14" s="29" t="s">
        <v>31</v>
      </c>
      <c r="J14" s="29" t="s">
        <v>32</v>
      </c>
      <c r="K14" s="29" t="s">
        <v>130</v>
      </c>
      <c r="L14" s="29" t="s">
        <v>115</v>
      </c>
      <c r="M14" s="29" t="s">
        <v>32</v>
      </c>
      <c r="N14" s="29" t="s">
        <v>33</v>
      </c>
      <c r="O14" s="29" t="s">
        <v>1011</v>
      </c>
      <c r="P14" s="29" t="s">
        <v>61</v>
      </c>
      <c r="Q14" s="29" t="s">
        <v>62</v>
      </c>
      <c r="R14" s="29" t="s">
        <v>448</v>
      </c>
      <c r="S14" s="29" t="s">
        <v>56</v>
      </c>
      <c r="T14" s="29" t="s">
        <v>35</v>
      </c>
      <c r="U14" s="29" t="s">
        <v>110</v>
      </c>
      <c r="V14" s="29" t="s">
        <v>56</v>
      </c>
      <c r="W14" s="29" t="s">
        <v>133</v>
      </c>
      <c r="X14" s="29" t="s">
        <v>115</v>
      </c>
      <c r="Y14" s="29" t="s">
        <v>32</v>
      </c>
      <c r="Z14" s="29" t="s">
        <v>123</v>
      </c>
      <c r="AA14" s="29" t="s">
        <v>44</v>
      </c>
      <c r="AB14" s="29" t="s">
        <v>32</v>
      </c>
      <c r="AC14" s="29" t="s">
        <v>37</v>
      </c>
      <c r="AD14" s="29" t="s">
        <v>1012</v>
      </c>
      <c r="AE14" s="29" t="s">
        <v>56</v>
      </c>
    </row>
    <row r="15" ht="22.5" customHeight="1">
      <c r="A15" s="29" t="s">
        <v>1013</v>
      </c>
      <c r="B15" s="29" t="s">
        <v>1014</v>
      </c>
      <c r="C15" s="30">
        <v>5.515991423469E12</v>
      </c>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row>
    <row r="16" ht="22.5" customHeight="1">
      <c r="A16" s="29" t="s">
        <v>1015</v>
      </c>
      <c r="B16" s="29" t="s">
        <v>1016</v>
      </c>
      <c r="C16" s="30">
        <v>5.52199118756E12</v>
      </c>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row>
    <row r="17" ht="22.5" customHeight="1">
      <c r="A17" s="29" t="s">
        <v>1017</v>
      </c>
      <c r="B17" s="29" t="s">
        <v>904</v>
      </c>
      <c r="C17" s="30">
        <v>5.515988007413E12</v>
      </c>
      <c r="D17" s="29"/>
      <c r="E17" s="29"/>
      <c r="F17" s="29"/>
      <c r="G17" s="29"/>
      <c r="H17" s="29" t="s">
        <v>150</v>
      </c>
      <c r="I17" s="29" t="s">
        <v>31</v>
      </c>
      <c r="J17" s="29" t="s">
        <v>32</v>
      </c>
      <c r="K17" s="29" t="s">
        <v>1018</v>
      </c>
      <c r="L17" s="29" t="s">
        <v>50</v>
      </c>
      <c r="M17" s="29" t="s">
        <v>32</v>
      </c>
      <c r="N17" s="29" t="s">
        <v>445</v>
      </c>
      <c r="O17" s="29" t="s">
        <v>50</v>
      </c>
      <c r="P17" s="29" t="s">
        <v>32</v>
      </c>
      <c r="Q17" s="29"/>
      <c r="R17" s="29"/>
      <c r="S17" s="29"/>
      <c r="T17" s="29"/>
      <c r="U17" s="29"/>
      <c r="V17" s="29"/>
      <c r="W17" s="29"/>
      <c r="X17" s="29"/>
      <c r="Y17" s="29"/>
      <c r="Z17" s="29"/>
      <c r="AA17" s="29"/>
      <c r="AB17" s="29"/>
      <c r="AC17" s="29"/>
      <c r="AD17" s="29"/>
      <c r="AE17" s="29"/>
    </row>
    <row r="18" ht="22.5" customHeight="1">
      <c r="A18" s="29" t="s">
        <v>1019</v>
      </c>
      <c r="B18" s="29" t="s">
        <v>1020</v>
      </c>
      <c r="C18" s="30">
        <v>5.515997040968E12</v>
      </c>
      <c r="D18" s="29"/>
      <c r="E18" s="29"/>
      <c r="F18" s="29"/>
      <c r="G18" s="29"/>
      <c r="H18" s="29" t="s">
        <v>33</v>
      </c>
      <c r="I18" s="29" t="s">
        <v>1021</v>
      </c>
      <c r="J18" s="29" t="s">
        <v>56</v>
      </c>
      <c r="K18" s="29" t="s">
        <v>35</v>
      </c>
      <c r="L18" s="29" t="s">
        <v>1021</v>
      </c>
      <c r="M18" s="29" t="s">
        <v>56</v>
      </c>
      <c r="N18" s="29"/>
      <c r="O18" s="29"/>
      <c r="P18" s="29"/>
      <c r="Q18" s="29"/>
      <c r="R18" s="29"/>
      <c r="S18" s="29"/>
      <c r="T18" s="29"/>
      <c r="U18" s="29"/>
      <c r="V18" s="29"/>
      <c r="W18" s="29"/>
      <c r="X18" s="29"/>
      <c r="Y18" s="29"/>
      <c r="Z18" s="29"/>
      <c r="AA18" s="29"/>
      <c r="AB18" s="29"/>
      <c r="AC18" s="29"/>
      <c r="AD18" s="29"/>
      <c r="AE18" s="29"/>
    </row>
    <row r="19" ht="22.5" customHeight="1">
      <c r="A19" s="29" t="s">
        <v>1022</v>
      </c>
      <c r="B19" s="29" t="s">
        <v>1023</v>
      </c>
      <c r="C19" s="30">
        <v>5.515997346525E12</v>
      </c>
      <c r="D19" s="29"/>
      <c r="E19" s="29"/>
      <c r="F19" s="29"/>
      <c r="G19" s="29"/>
      <c r="H19" s="29" t="s">
        <v>150</v>
      </c>
      <c r="I19" s="29" t="s">
        <v>31</v>
      </c>
      <c r="J19" s="29" t="s">
        <v>32</v>
      </c>
      <c r="K19" s="29" t="s">
        <v>91</v>
      </c>
      <c r="L19" s="29" t="s">
        <v>131</v>
      </c>
      <c r="M19" s="29" t="s">
        <v>32</v>
      </c>
      <c r="N19" s="29" t="s">
        <v>108</v>
      </c>
      <c r="O19" s="29" t="s">
        <v>31</v>
      </c>
      <c r="P19" s="29" t="s">
        <v>56</v>
      </c>
      <c r="Q19" s="29" t="s">
        <v>37</v>
      </c>
      <c r="R19" s="29" t="s">
        <v>74</v>
      </c>
      <c r="S19" s="29" t="s">
        <v>32</v>
      </c>
      <c r="T19" s="29" t="s">
        <v>41</v>
      </c>
      <c r="U19" s="29" t="s">
        <v>31</v>
      </c>
      <c r="V19" s="29" t="s">
        <v>32</v>
      </c>
      <c r="W19" s="29"/>
      <c r="X19" s="29"/>
      <c r="Y19" s="29"/>
      <c r="Z19" s="29"/>
      <c r="AA19" s="29"/>
      <c r="AB19" s="29"/>
      <c r="AC19" s="29"/>
      <c r="AD19" s="29"/>
      <c r="AE19" s="29"/>
    </row>
    <row r="20" ht="22.5" customHeight="1">
      <c r="A20" s="29" t="s">
        <v>1024</v>
      </c>
      <c r="B20" s="29" t="s">
        <v>1025</v>
      </c>
      <c r="C20" s="30">
        <v>5.515998271993E12</v>
      </c>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row>
    <row r="21" ht="22.5" customHeight="1">
      <c r="A21" s="29" t="s">
        <v>1026</v>
      </c>
      <c r="B21" s="29" t="s">
        <v>653</v>
      </c>
      <c r="C21" s="30">
        <v>5.515988442235E12</v>
      </c>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row>
    <row r="22" ht="22.5" customHeight="1">
      <c r="A22" s="29" t="s">
        <v>1027</v>
      </c>
      <c r="B22" s="29" t="s">
        <v>1028</v>
      </c>
      <c r="C22" s="30">
        <v>5.515996544402E12</v>
      </c>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row>
    <row r="23" ht="22.5" customHeight="1">
      <c r="A23" s="29" t="s">
        <v>1029</v>
      </c>
      <c r="B23" s="29" t="s">
        <v>820</v>
      </c>
      <c r="C23" s="30">
        <v>5.515991323353E12</v>
      </c>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row>
    <row r="24" ht="22.5" customHeight="1">
      <c r="A24" s="29" t="s">
        <v>1030</v>
      </c>
      <c r="B24" s="29" t="s">
        <v>202</v>
      </c>
      <c r="C24" s="30">
        <v>5.515996093224E12</v>
      </c>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row>
    <row r="25" ht="22.5" customHeight="1">
      <c r="A25" s="29" t="s">
        <v>1031</v>
      </c>
      <c r="B25" s="29" t="s">
        <v>1032</v>
      </c>
      <c r="C25" s="30">
        <v>5.515992756924E12</v>
      </c>
      <c r="D25" s="29"/>
      <c r="E25" s="29"/>
      <c r="F25" s="29"/>
      <c r="G25" s="29"/>
      <c r="H25" s="29" t="s">
        <v>150</v>
      </c>
      <c r="I25" s="29" t="s">
        <v>31</v>
      </c>
      <c r="J25" s="29" t="s">
        <v>32</v>
      </c>
      <c r="K25" s="29" t="s">
        <v>37</v>
      </c>
      <c r="L25" s="29" t="s">
        <v>404</v>
      </c>
      <c r="M25" s="29" t="s">
        <v>32</v>
      </c>
      <c r="N25" s="29" t="s">
        <v>41</v>
      </c>
      <c r="O25" s="29" t="s">
        <v>31</v>
      </c>
      <c r="P25" s="29" t="s">
        <v>32</v>
      </c>
      <c r="Q25" s="29"/>
      <c r="R25" s="29"/>
      <c r="S25" s="29"/>
      <c r="T25" s="29"/>
      <c r="U25" s="29"/>
      <c r="V25" s="29"/>
      <c r="W25" s="29"/>
      <c r="X25" s="29"/>
      <c r="Y25" s="29"/>
      <c r="Z25" s="29"/>
      <c r="AA25" s="29"/>
      <c r="AB25" s="29"/>
      <c r="AC25" s="29"/>
      <c r="AD25" s="29"/>
      <c r="AE25" s="29"/>
    </row>
    <row r="26" ht="22.5" customHeight="1">
      <c r="A26" s="29" t="s">
        <v>1033</v>
      </c>
      <c r="B26" s="29" t="s">
        <v>983</v>
      </c>
      <c r="C26" s="30">
        <v>5.51599704055E12</v>
      </c>
      <c r="D26" s="29"/>
      <c r="E26" s="29"/>
      <c r="F26" s="29"/>
      <c r="G26" s="29"/>
      <c r="H26" s="29" t="s">
        <v>116</v>
      </c>
      <c r="I26" s="29" t="s">
        <v>270</v>
      </c>
      <c r="J26" s="29" t="s">
        <v>271</v>
      </c>
      <c r="K26" s="29"/>
      <c r="L26" s="29"/>
      <c r="M26" s="29"/>
      <c r="N26" s="29"/>
      <c r="O26" s="29"/>
      <c r="P26" s="29"/>
      <c r="Q26" s="29"/>
      <c r="R26" s="29"/>
      <c r="S26" s="29"/>
      <c r="T26" s="29"/>
      <c r="U26" s="29"/>
      <c r="V26" s="29"/>
      <c r="W26" s="29"/>
      <c r="X26" s="29"/>
      <c r="Y26" s="29"/>
      <c r="Z26" s="29"/>
      <c r="AA26" s="29"/>
      <c r="AB26" s="29"/>
      <c r="AC26" s="29"/>
      <c r="AD26" s="29"/>
      <c r="AE26" s="29"/>
    </row>
    <row r="27" ht="22.5" customHeight="1">
      <c r="A27" s="29" t="s">
        <v>1034</v>
      </c>
      <c r="B27" s="29" t="s">
        <v>1035</v>
      </c>
      <c r="C27" s="30">
        <v>5.515996630377E12</v>
      </c>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row>
    <row r="28" ht="22.5" customHeight="1">
      <c r="A28" s="29" t="s">
        <v>1036</v>
      </c>
      <c r="B28" s="29" t="s">
        <v>1037</v>
      </c>
      <c r="C28" s="30">
        <v>5.515991295103E12</v>
      </c>
      <c r="D28" s="29"/>
      <c r="E28" s="29"/>
      <c r="F28" s="29"/>
      <c r="G28" s="29"/>
      <c r="H28" s="29" t="s">
        <v>150</v>
      </c>
      <c r="I28" s="29" t="s">
        <v>31</v>
      </c>
      <c r="J28" s="29" t="s">
        <v>32</v>
      </c>
      <c r="K28" s="29" t="s">
        <v>33</v>
      </c>
      <c r="L28" s="29" t="s">
        <v>1038</v>
      </c>
      <c r="M28" s="29" t="s">
        <v>56</v>
      </c>
      <c r="N28" s="29" t="s">
        <v>116</v>
      </c>
      <c r="O28" s="29" t="s">
        <v>204</v>
      </c>
      <c r="P28" s="29" t="s">
        <v>32</v>
      </c>
      <c r="Q28" s="29" t="s">
        <v>35</v>
      </c>
      <c r="R28" s="29" t="s">
        <v>104</v>
      </c>
      <c r="S28" s="29" t="s">
        <v>32</v>
      </c>
      <c r="T28" s="29"/>
      <c r="U28" s="29"/>
      <c r="V28" s="29"/>
      <c r="W28" s="29"/>
      <c r="X28" s="29"/>
      <c r="Y28" s="29"/>
      <c r="Z28" s="29"/>
      <c r="AA28" s="29"/>
      <c r="AB28" s="29"/>
      <c r="AC28" s="29"/>
      <c r="AD28" s="29"/>
      <c r="AE28" s="29"/>
    </row>
    <row r="29" ht="22.5" customHeight="1">
      <c r="A29" s="29" t="s">
        <v>1039</v>
      </c>
      <c r="B29" s="29" t="s">
        <v>1040</v>
      </c>
      <c r="C29" s="30">
        <v>5.51599788371E12</v>
      </c>
      <c r="D29" s="29"/>
      <c r="E29" s="29"/>
      <c r="F29" s="29"/>
      <c r="G29" s="29"/>
      <c r="H29" s="29" t="s">
        <v>150</v>
      </c>
      <c r="I29" s="29" t="s">
        <v>31</v>
      </c>
      <c r="J29" s="29" t="s">
        <v>32</v>
      </c>
      <c r="K29" s="29" t="s">
        <v>62</v>
      </c>
      <c r="L29" s="29" t="s">
        <v>440</v>
      </c>
      <c r="M29" s="29" t="s">
        <v>32</v>
      </c>
      <c r="N29" s="29" t="s">
        <v>48</v>
      </c>
      <c r="O29" s="29" t="s">
        <v>135</v>
      </c>
      <c r="P29" s="29" t="s">
        <v>56</v>
      </c>
      <c r="Q29" s="29" t="s">
        <v>36</v>
      </c>
      <c r="R29" s="29" t="s">
        <v>31</v>
      </c>
      <c r="S29" s="29" t="s">
        <v>32</v>
      </c>
      <c r="T29" s="29"/>
      <c r="U29" s="29"/>
      <c r="V29" s="29"/>
      <c r="W29" s="29"/>
      <c r="X29" s="29"/>
      <c r="Y29" s="29"/>
      <c r="Z29" s="29"/>
      <c r="AA29" s="29"/>
      <c r="AB29" s="29"/>
      <c r="AC29" s="29"/>
      <c r="AD29" s="29"/>
      <c r="AE29" s="29"/>
    </row>
    <row r="30" ht="22.5" customHeight="1">
      <c r="A30" s="29" t="s">
        <v>1041</v>
      </c>
      <c r="B30" s="29" t="s">
        <v>1042</v>
      </c>
      <c r="C30" s="30">
        <v>5.515981512212E12</v>
      </c>
      <c r="D30" s="29"/>
      <c r="E30" s="29"/>
      <c r="F30" s="29"/>
      <c r="G30" s="29"/>
      <c r="H30" s="29" t="s">
        <v>150</v>
      </c>
      <c r="I30" s="29" t="s">
        <v>31</v>
      </c>
      <c r="J30" s="29" t="s">
        <v>32</v>
      </c>
      <c r="K30" s="29" t="s">
        <v>108</v>
      </c>
      <c r="L30" s="29" t="s">
        <v>31</v>
      </c>
      <c r="M30" s="29" t="s">
        <v>32</v>
      </c>
      <c r="N30" s="29" t="s">
        <v>48</v>
      </c>
      <c r="O30" s="29" t="s">
        <v>135</v>
      </c>
      <c r="P30" s="29" t="s">
        <v>56</v>
      </c>
      <c r="Q30" s="29"/>
      <c r="R30" s="29"/>
      <c r="S30" s="29"/>
      <c r="T30" s="29"/>
      <c r="U30" s="29"/>
      <c r="V30" s="29"/>
      <c r="W30" s="29"/>
      <c r="X30" s="29"/>
      <c r="Y30" s="29"/>
      <c r="Z30" s="29"/>
      <c r="AA30" s="29"/>
      <c r="AB30" s="29"/>
      <c r="AC30" s="29"/>
      <c r="AD30" s="29"/>
      <c r="AE30" s="29"/>
    </row>
    <row r="31" ht="22.5" customHeight="1">
      <c r="A31" s="29" t="s">
        <v>1043</v>
      </c>
      <c r="B31" s="29" t="s">
        <v>1044</v>
      </c>
      <c r="C31" s="30">
        <v>5.515997989622E12</v>
      </c>
      <c r="D31" s="29"/>
      <c r="E31" s="29"/>
      <c r="F31" s="29"/>
      <c r="G31" s="29"/>
      <c r="H31" s="29" t="s">
        <v>150</v>
      </c>
      <c r="I31" s="29" t="s">
        <v>31</v>
      </c>
      <c r="J31" s="29" t="s">
        <v>32</v>
      </c>
      <c r="K31" s="29" t="s">
        <v>33</v>
      </c>
      <c r="L31" s="29" t="s">
        <v>98</v>
      </c>
      <c r="M31" s="29" t="s">
        <v>56</v>
      </c>
      <c r="N31" s="29" t="s">
        <v>35</v>
      </c>
      <c r="O31" s="29" t="s">
        <v>92</v>
      </c>
      <c r="P31" s="29" t="s">
        <v>32</v>
      </c>
      <c r="Q31" s="29" t="s">
        <v>108</v>
      </c>
      <c r="R31" s="29" t="s">
        <v>31</v>
      </c>
      <c r="S31" s="29" t="s">
        <v>32</v>
      </c>
      <c r="T31" s="29" t="s">
        <v>36</v>
      </c>
      <c r="U31" s="29" t="s">
        <v>31</v>
      </c>
      <c r="V31" s="29" t="s">
        <v>32</v>
      </c>
      <c r="W31" s="29"/>
      <c r="X31" s="29"/>
      <c r="Y31" s="29"/>
      <c r="Z31" s="29"/>
      <c r="AA31" s="29"/>
      <c r="AB31" s="29"/>
      <c r="AC31" s="29"/>
      <c r="AD31" s="29"/>
      <c r="AE31" s="29"/>
    </row>
    <row r="32" ht="22.5" customHeight="1">
      <c r="A32" s="29" t="s">
        <v>1045</v>
      </c>
      <c r="B32" s="29" t="s">
        <v>1046</v>
      </c>
      <c r="C32" s="30">
        <v>5.51599614999E12</v>
      </c>
      <c r="D32" s="29"/>
      <c r="E32" s="29"/>
      <c r="F32" s="29"/>
      <c r="G32" s="29"/>
      <c r="H32" s="29" t="s">
        <v>150</v>
      </c>
      <c r="I32" s="29" t="s">
        <v>31</v>
      </c>
      <c r="J32" s="29" t="s">
        <v>32</v>
      </c>
      <c r="K32" s="29" t="s">
        <v>33</v>
      </c>
      <c r="L32" s="29" t="s">
        <v>1047</v>
      </c>
      <c r="M32" s="29" t="s">
        <v>61</v>
      </c>
      <c r="N32" s="29"/>
      <c r="O32" s="29"/>
      <c r="P32" s="29"/>
      <c r="Q32" s="29"/>
      <c r="R32" s="29"/>
      <c r="S32" s="29"/>
      <c r="T32" s="29"/>
      <c r="U32" s="29"/>
      <c r="V32" s="29"/>
      <c r="W32" s="29"/>
      <c r="X32" s="29"/>
      <c r="Y32" s="29"/>
      <c r="Z32" s="29"/>
      <c r="AA32" s="29"/>
      <c r="AB32" s="29"/>
      <c r="AC32" s="29"/>
      <c r="AD32" s="29"/>
      <c r="AE32" s="29"/>
    </row>
    <row r="33" ht="22.5" customHeight="1">
      <c r="A33" s="29" t="s">
        <v>1048</v>
      </c>
      <c r="B33" s="29" t="s">
        <v>1049</v>
      </c>
      <c r="C33" s="30">
        <v>5.515997694951E12</v>
      </c>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row>
    <row r="34" ht="22.5" customHeight="1">
      <c r="A34" s="29" t="s">
        <v>1050</v>
      </c>
      <c r="B34" s="29" t="s">
        <v>1051</v>
      </c>
      <c r="C34" s="30">
        <v>5.515991579665E12</v>
      </c>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row>
    <row r="35" ht="22.5" customHeight="1">
      <c r="A35" s="29" t="s">
        <v>1052</v>
      </c>
      <c r="B35" s="29" t="s">
        <v>1053</v>
      </c>
      <c r="C35" s="30">
        <v>5.51599177173E12</v>
      </c>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row>
    <row r="36" ht="22.5" customHeight="1">
      <c r="A36" s="29" t="s">
        <v>1054</v>
      </c>
      <c r="B36" s="29" t="s">
        <v>1055</v>
      </c>
      <c r="C36" s="30">
        <v>5.515988214685E12</v>
      </c>
      <c r="D36" s="29"/>
      <c r="E36" s="29"/>
      <c r="F36" s="29"/>
      <c r="G36" s="29"/>
      <c r="H36" s="29" t="s">
        <v>66</v>
      </c>
      <c r="I36" s="29" t="s">
        <v>31</v>
      </c>
      <c r="J36" s="29" t="s">
        <v>32</v>
      </c>
      <c r="K36" s="29" t="s">
        <v>150</v>
      </c>
      <c r="L36" s="29" t="s">
        <v>31</v>
      </c>
      <c r="M36" s="29" t="s">
        <v>32</v>
      </c>
      <c r="N36" s="29" t="s">
        <v>41</v>
      </c>
      <c r="O36" s="29" t="s">
        <v>31</v>
      </c>
      <c r="P36" s="29" t="s">
        <v>32</v>
      </c>
      <c r="Q36" s="29"/>
      <c r="R36" s="29"/>
      <c r="S36" s="29"/>
      <c r="T36" s="29"/>
      <c r="U36" s="29"/>
      <c r="V36" s="29"/>
      <c r="W36" s="29"/>
      <c r="X36" s="29"/>
      <c r="Y36" s="29"/>
      <c r="Z36" s="29"/>
      <c r="AA36" s="29"/>
      <c r="AB36" s="29"/>
      <c r="AC36" s="29"/>
      <c r="AD36" s="29"/>
      <c r="AE36" s="29"/>
    </row>
    <row r="37" ht="22.5" customHeight="1">
      <c r="A37" s="29" t="s">
        <v>1056</v>
      </c>
      <c r="B37" s="29" t="s">
        <v>1057</v>
      </c>
      <c r="C37" s="30">
        <v>5.515997245841E12</v>
      </c>
      <c r="D37" s="29"/>
      <c r="E37" s="29"/>
      <c r="F37" s="29"/>
      <c r="G37" s="29"/>
      <c r="H37" s="29" t="s">
        <v>66</v>
      </c>
      <c r="I37" s="29" t="s">
        <v>31</v>
      </c>
      <c r="J37" s="29" t="s">
        <v>32</v>
      </c>
      <c r="K37" s="29" t="s">
        <v>150</v>
      </c>
      <c r="L37" s="29" t="s">
        <v>31</v>
      </c>
      <c r="M37" s="29" t="s">
        <v>32</v>
      </c>
      <c r="N37" s="29" t="s">
        <v>41</v>
      </c>
      <c r="O37" s="29" t="s">
        <v>31</v>
      </c>
      <c r="P37" s="29" t="s">
        <v>32</v>
      </c>
      <c r="Q37" s="29"/>
      <c r="R37" s="29"/>
      <c r="S37" s="29"/>
      <c r="T37" s="29"/>
      <c r="U37" s="29"/>
      <c r="V37" s="29"/>
      <c r="W37" s="29"/>
      <c r="X37" s="29"/>
      <c r="Y37" s="29"/>
      <c r="Z37" s="29"/>
      <c r="AA37" s="29"/>
      <c r="AB37" s="29"/>
      <c r="AC37" s="29"/>
      <c r="AD37" s="29"/>
      <c r="AE37" s="29"/>
    </row>
    <row r="38" ht="22.5" customHeight="1">
      <c r="A38" s="29" t="s">
        <v>1058</v>
      </c>
      <c r="B38" s="29" t="s">
        <v>1059</v>
      </c>
      <c r="C38" s="30">
        <v>5.519994923706E12</v>
      </c>
      <c r="D38" s="29"/>
      <c r="E38" s="29"/>
      <c r="F38" s="29"/>
      <c r="G38" s="29"/>
      <c r="H38" s="29" t="s">
        <v>150</v>
      </c>
      <c r="I38" s="29" t="s">
        <v>31</v>
      </c>
      <c r="J38" s="29" t="s">
        <v>32</v>
      </c>
      <c r="K38" s="29" t="s">
        <v>41</v>
      </c>
      <c r="L38" s="29" t="s">
        <v>31</v>
      </c>
      <c r="M38" s="29" t="s">
        <v>32</v>
      </c>
      <c r="N38" s="29"/>
      <c r="O38" s="29"/>
      <c r="P38" s="29"/>
      <c r="Q38" s="29"/>
      <c r="R38" s="29"/>
      <c r="S38" s="29"/>
      <c r="T38" s="29"/>
      <c r="U38" s="29"/>
      <c r="V38" s="29"/>
      <c r="W38" s="29"/>
      <c r="X38" s="29"/>
      <c r="Y38" s="29"/>
      <c r="Z38" s="29"/>
      <c r="AA38" s="29"/>
      <c r="AB38" s="29"/>
      <c r="AC38" s="29"/>
      <c r="AD38" s="29"/>
      <c r="AE38" s="29"/>
    </row>
    <row r="39" ht="22.5" customHeight="1">
      <c r="A39" s="29" t="s">
        <v>1060</v>
      </c>
      <c r="B39" s="29" t="s">
        <v>1061</v>
      </c>
      <c r="C39" s="30">
        <v>5.515997559591E12</v>
      </c>
      <c r="D39" s="29"/>
      <c r="E39" s="29"/>
      <c r="F39" s="29"/>
      <c r="G39" s="29"/>
      <c r="H39" s="29" t="s">
        <v>66</v>
      </c>
      <c r="I39" s="29" t="s">
        <v>31</v>
      </c>
      <c r="J39" s="29" t="s">
        <v>32</v>
      </c>
      <c r="K39" s="29" t="s">
        <v>150</v>
      </c>
      <c r="L39" s="29" t="s">
        <v>31</v>
      </c>
      <c r="M39" s="29" t="s">
        <v>32</v>
      </c>
      <c r="N39" s="29" t="s">
        <v>41</v>
      </c>
      <c r="O39" s="29" t="s">
        <v>31</v>
      </c>
      <c r="P39" s="29" t="s">
        <v>32</v>
      </c>
      <c r="Q39" s="29"/>
      <c r="R39" s="29"/>
      <c r="S39" s="29"/>
      <c r="T39" s="29"/>
      <c r="U39" s="29"/>
      <c r="V39" s="29"/>
      <c r="W39" s="29"/>
      <c r="X39" s="29"/>
      <c r="Y39" s="29"/>
      <c r="Z39" s="29"/>
      <c r="AA39" s="29"/>
      <c r="AB39" s="29"/>
      <c r="AC39" s="29"/>
      <c r="AD39" s="29"/>
      <c r="AE39" s="29"/>
    </row>
    <row r="40" ht="22.5" customHeight="1">
      <c r="A40" s="29" t="s">
        <v>1062</v>
      </c>
      <c r="B40" s="29" t="s">
        <v>1063</v>
      </c>
      <c r="C40" s="30">
        <v>5.515993418179E12</v>
      </c>
      <c r="D40" s="29"/>
      <c r="E40" s="29"/>
      <c r="F40" s="29"/>
      <c r="G40" s="29"/>
      <c r="H40" s="29" t="s">
        <v>150</v>
      </c>
      <c r="I40" s="29" t="s">
        <v>31</v>
      </c>
      <c r="J40" s="29" t="s">
        <v>32</v>
      </c>
      <c r="K40" s="29" t="s">
        <v>91</v>
      </c>
      <c r="L40" s="29" t="s">
        <v>204</v>
      </c>
      <c r="M40" s="29" t="s">
        <v>32</v>
      </c>
      <c r="N40" s="29" t="s">
        <v>116</v>
      </c>
      <c r="O40" s="29" t="s">
        <v>448</v>
      </c>
      <c r="P40" s="29" t="s">
        <v>56</v>
      </c>
      <c r="Q40" s="29" t="s">
        <v>48</v>
      </c>
      <c r="R40" s="29" t="s">
        <v>44</v>
      </c>
      <c r="S40" s="29" t="s">
        <v>32</v>
      </c>
      <c r="T40" s="29" t="s">
        <v>36</v>
      </c>
      <c r="U40" s="29" t="s">
        <v>31</v>
      </c>
      <c r="V40" s="29" t="s">
        <v>32</v>
      </c>
      <c r="W40" s="29" t="s">
        <v>37</v>
      </c>
      <c r="X40" s="29" t="s">
        <v>199</v>
      </c>
      <c r="Y40" s="29" t="s">
        <v>32</v>
      </c>
      <c r="Z40" s="29"/>
      <c r="AA40" s="29"/>
      <c r="AB40" s="29"/>
      <c r="AC40" s="29"/>
      <c r="AD40" s="29"/>
      <c r="AE40" s="29"/>
    </row>
    <row r="41" ht="22.5" customHeight="1">
      <c r="A41" s="29" t="s">
        <v>1064</v>
      </c>
      <c r="B41" s="29" t="s">
        <v>1065</v>
      </c>
      <c r="C41" s="30">
        <v>5.515996417129E12</v>
      </c>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row>
    <row r="42" ht="22.5" customHeight="1">
      <c r="A42" s="29" t="s">
        <v>1066</v>
      </c>
      <c r="B42" s="29" t="s">
        <v>1067</v>
      </c>
      <c r="C42" s="30">
        <v>5.51599645086E12</v>
      </c>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row>
    <row r="43" ht="22.5" customHeight="1">
      <c r="A43" s="29" t="s">
        <v>1068</v>
      </c>
      <c r="B43" s="29" t="s">
        <v>1069</v>
      </c>
      <c r="C43" s="30">
        <v>5.515996654152E12</v>
      </c>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row>
    <row r="44" ht="22.5" customHeight="1">
      <c r="A44" s="29" t="s">
        <v>1070</v>
      </c>
      <c r="B44" s="29" t="s">
        <v>691</v>
      </c>
      <c r="C44" s="30">
        <v>5.515998417325E12</v>
      </c>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row>
    <row r="45" ht="22.5" customHeight="1">
      <c r="A45" s="29" t="s">
        <v>1071</v>
      </c>
      <c r="B45" s="29" t="s">
        <v>1072</v>
      </c>
      <c r="C45" s="30">
        <v>5.515997009884E12</v>
      </c>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row>
    <row r="46" ht="22.5" customHeight="1">
      <c r="A46" s="29" t="s">
        <v>1073</v>
      </c>
      <c r="B46" s="29" t="s">
        <v>576</v>
      </c>
      <c r="C46" s="30">
        <v>5.515997154749E12</v>
      </c>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row>
    <row r="47" ht="22.5" customHeight="1">
      <c r="A47" s="29" t="s">
        <v>1074</v>
      </c>
      <c r="B47" s="29" t="s">
        <v>1075</v>
      </c>
      <c r="C47" s="30">
        <v>5.515996923824E12</v>
      </c>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row>
    <row r="48" ht="22.5" customHeight="1">
      <c r="A48" s="29" t="s">
        <v>1076</v>
      </c>
      <c r="B48" s="29" t="s">
        <v>1077</v>
      </c>
      <c r="C48" s="30">
        <v>5.51599130519E12</v>
      </c>
      <c r="D48" s="29"/>
      <c r="E48" s="29"/>
      <c r="F48" s="29"/>
      <c r="G48" s="29"/>
      <c r="H48" s="29" t="s">
        <v>138</v>
      </c>
      <c r="I48" s="29" t="s">
        <v>74</v>
      </c>
      <c r="J48" s="29" t="s">
        <v>32</v>
      </c>
      <c r="K48" s="29" t="s">
        <v>150</v>
      </c>
      <c r="L48" s="29" t="s">
        <v>31</v>
      </c>
      <c r="M48" s="29" t="s">
        <v>32</v>
      </c>
      <c r="N48" s="29" t="s">
        <v>33</v>
      </c>
      <c r="O48" s="29" t="s">
        <v>74</v>
      </c>
      <c r="P48" s="29" t="s">
        <v>32</v>
      </c>
      <c r="Q48" s="29" t="s">
        <v>62</v>
      </c>
      <c r="R48" s="29" t="s">
        <v>74</v>
      </c>
      <c r="S48" s="29" t="s">
        <v>32</v>
      </c>
      <c r="T48" s="29"/>
      <c r="U48" s="29"/>
      <c r="V48" s="29"/>
      <c r="W48" s="29"/>
      <c r="X48" s="29"/>
      <c r="Y48" s="29"/>
      <c r="Z48" s="29"/>
      <c r="AA48" s="29"/>
      <c r="AB48" s="29"/>
      <c r="AC48" s="29"/>
      <c r="AD48" s="29"/>
      <c r="AE48" s="29"/>
    </row>
    <row r="49" ht="22.5" customHeight="1">
      <c r="A49" s="29" t="s">
        <v>1078</v>
      </c>
      <c r="B49" s="29" t="s">
        <v>1079</v>
      </c>
      <c r="C49" s="30">
        <v>5.515997450063E12</v>
      </c>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row>
    <row r="50" ht="22.5" customHeight="1">
      <c r="A50" s="29" t="s">
        <v>1080</v>
      </c>
      <c r="B50" s="29" t="s">
        <v>1081</v>
      </c>
      <c r="C50" s="30">
        <v>5.575999451236E12</v>
      </c>
      <c r="D50" s="29"/>
      <c r="E50" s="29"/>
      <c r="F50" s="29"/>
      <c r="G50" s="29"/>
      <c r="H50" s="29" t="s">
        <v>33</v>
      </c>
      <c r="I50" s="29" t="s">
        <v>92</v>
      </c>
      <c r="J50" s="29" t="s">
        <v>32</v>
      </c>
      <c r="K50" s="29" t="s">
        <v>35</v>
      </c>
      <c r="L50" s="29" t="s">
        <v>92</v>
      </c>
      <c r="M50" s="29" t="s">
        <v>32</v>
      </c>
      <c r="N50" s="29"/>
      <c r="O50" s="29"/>
      <c r="P50" s="29"/>
      <c r="Q50" s="29"/>
      <c r="R50" s="29"/>
      <c r="S50" s="29"/>
      <c r="T50" s="29"/>
      <c r="U50" s="29"/>
      <c r="V50" s="29"/>
      <c r="W50" s="29"/>
      <c r="X50" s="29"/>
      <c r="Y50" s="29"/>
      <c r="Z50" s="29"/>
      <c r="AA50" s="29"/>
      <c r="AB50" s="29"/>
      <c r="AC50" s="29"/>
      <c r="AD50" s="29"/>
      <c r="AE50" s="29"/>
    </row>
    <row r="51" ht="22.5" customHeight="1">
      <c r="A51" s="29" t="s">
        <v>1082</v>
      </c>
      <c r="B51" s="29" t="s">
        <v>1083</v>
      </c>
      <c r="C51" s="30">
        <v>5.515991700542E12</v>
      </c>
      <c r="D51" s="29"/>
      <c r="E51" s="29"/>
      <c r="F51" s="29"/>
      <c r="G51" s="29"/>
      <c r="H51" s="29" t="s">
        <v>150</v>
      </c>
      <c r="I51" s="29" t="s">
        <v>31</v>
      </c>
      <c r="J51" s="29" t="s">
        <v>32</v>
      </c>
      <c r="K51" s="29" t="s">
        <v>132</v>
      </c>
      <c r="L51" s="29" t="s">
        <v>104</v>
      </c>
      <c r="M51" s="29" t="s">
        <v>32</v>
      </c>
      <c r="N51" s="29" t="s">
        <v>59</v>
      </c>
      <c r="O51" s="29" t="s">
        <v>588</v>
      </c>
      <c r="P51" s="29" t="s">
        <v>32</v>
      </c>
      <c r="Q51" s="29" t="s">
        <v>91</v>
      </c>
      <c r="R51" s="29" t="s">
        <v>431</v>
      </c>
      <c r="S51" s="29" t="s">
        <v>32</v>
      </c>
      <c r="T51" s="29" t="s">
        <v>108</v>
      </c>
      <c r="U51" s="29" t="s">
        <v>31</v>
      </c>
      <c r="V51" s="29" t="s">
        <v>32</v>
      </c>
      <c r="W51" s="29" t="s">
        <v>37</v>
      </c>
      <c r="X51" s="29" t="s">
        <v>1084</v>
      </c>
      <c r="Y51" s="29" t="s">
        <v>61</v>
      </c>
      <c r="Z51" s="29"/>
      <c r="AA51" s="29"/>
      <c r="AB51" s="29"/>
      <c r="AC51" s="29"/>
      <c r="AD51" s="29"/>
      <c r="AE51" s="29"/>
    </row>
    <row r="52" ht="22.5" customHeight="1">
      <c r="A52" s="29" t="s">
        <v>1085</v>
      </c>
      <c r="B52" s="29" t="s">
        <v>1086</v>
      </c>
      <c r="C52" s="30">
        <v>5.515996224908E12</v>
      </c>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row>
    <row r="53" ht="22.5" customHeight="1">
      <c r="A53" s="29" t="s">
        <v>1087</v>
      </c>
      <c r="B53" s="29" t="s">
        <v>1088</v>
      </c>
      <c r="C53" s="30">
        <v>5.515991723626E12</v>
      </c>
      <c r="D53" s="29"/>
      <c r="E53" s="29"/>
      <c r="F53" s="29"/>
      <c r="G53" s="29"/>
      <c r="H53" s="29" t="s">
        <v>150</v>
      </c>
      <c r="I53" s="29" t="s">
        <v>31</v>
      </c>
      <c r="J53" s="29" t="s">
        <v>32</v>
      </c>
      <c r="K53" s="29" t="s">
        <v>174</v>
      </c>
      <c r="L53" s="29" t="s">
        <v>602</v>
      </c>
      <c r="M53" s="29" t="s">
        <v>56</v>
      </c>
      <c r="N53" s="29" t="s">
        <v>108</v>
      </c>
      <c r="O53" s="29" t="s">
        <v>31</v>
      </c>
      <c r="P53" s="29" t="s">
        <v>32</v>
      </c>
      <c r="Q53" s="29" t="s">
        <v>36</v>
      </c>
      <c r="R53" s="29" t="s">
        <v>31</v>
      </c>
      <c r="S53" s="29" t="s">
        <v>32</v>
      </c>
      <c r="T53" s="29" t="s">
        <v>109</v>
      </c>
      <c r="U53" s="29" t="s">
        <v>399</v>
      </c>
      <c r="V53" s="29" t="s">
        <v>56</v>
      </c>
      <c r="W53" s="29"/>
      <c r="X53" s="29"/>
      <c r="Y53" s="29"/>
      <c r="Z53" s="29"/>
      <c r="AA53" s="29"/>
      <c r="AB53" s="29"/>
      <c r="AC53" s="29"/>
      <c r="AD53" s="29"/>
      <c r="AE53" s="29"/>
    </row>
    <row r="54" ht="22.5" customHeight="1">
      <c r="A54" s="29" t="s">
        <v>1089</v>
      </c>
      <c r="B54" s="29" t="s">
        <v>1090</v>
      </c>
      <c r="C54" s="30">
        <v>5.515996162437E12</v>
      </c>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row>
    <row r="55" ht="22.5" customHeight="1">
      <c r="A55" s="29" t="s">
        <v>1091</v>
      </c>
      <c r="B55" s="29" t="s">
        <v>1092</v>
      </c>
      <c r="C55" s="30">
        <v>5.515981807724E12</v>
      </c>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row>
    <row r="56" ht="22.5" customHeight="1">
      <c r="A56" s="29" t="s">
        <v>1093</v>
      </c>
      <c r="B56" s="29" t="s">
        <v>1094</v>
      </c>
      <c r="C56" s="30">
        <v>5.515991460988E12</v>
      </c>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row>
    <row r="57" ht="22.5" customHeight="1">
      <c r="A57" s="29" t="s">
        <v>1095</v>
      </c>
      <c r="B57" s="29" t="s">
        <v>1023</v>
      </c>
      <c r="C57" s="30">
        <v>5.515997346525E12</v>
      </c>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row>
    <row r="58" ht="22.5" customHeight="1">
      <c r="A58" s="29" t="s">
        <v>1096</v>
      </c>
      <c r="B58" s="29" t="s">
        <v>1097</v>
      </c>
      <c r="C58" s="30">
        <v>5.515998077131E12</v>
      </c>
      <c r="D58" s="29"/>
      <c r="E58" s="29"/>
      <c r="F58" s="29"/>
      <c r="G58" s="29"/>
      <c r="H58" s="29" t="s">
        <v>150</v>
      </c>
      <c r="I58" s="29" t="s">
        <v>31</v>
      </c>
      <c r="J58" s="29" t="s">
        <v>32</v>
      </c>
      <c r="K58" s="29" t="s">
        <v>91</v>
      </c>
      <c r="L58" s="29" t="s">
        <v>1098</v>
      </c>
      <c r="M58" s="29" t="s">
        <v>170</v>
      </c>
      <c r="N58" s="29" t="s">
        <v>62</v>
      </c>
      <c r="O58" s="29" t="s">
        <v>38</v>
      </c>
      <c r="P58" s="29" t="s">
        <v>32</v>
      </c>
      <c r="Q58" s="29" t="s">
        <v>206</v>
      </c>
      <c r="R58" s="29" t="s">
        <v>31</v>
      </c>
      <c r="S58" s="29" t="s">
        <v>32</v>
      </c>
      <c r="T58" s="29" t="s">
        <v>36</v>
      </c>
      <c r="U58" s="29" t="s">
        <v>31</v>
      </c>
      <c r="V58" s="29" t="s">
        <v>32</v>
      </c>
      <c r="W58" s="29"/>
      <c r="X58" s="29"/>
      <c r="Y58" s="29"/>
      <c r="Z58" s="29"/>
      <c r="AA58" s="29"/>
      <c r="AB58" s="29"/>
      <c r="AC58" s="29"/>
      <c r="AD58" s="29"/>
      <c r="AE58" s="29"/>
    </row>
    <row r="59" ht="22.5" customHeight="1">
      <c r="A59" s="29" t="s">
        <v>1099</v>
      </c>
      <c r="B59" s="29" t="s">
        <v>1100</v>
      </c>
      <c r="C59" s="30">
        <v>5.511983739192E12</v>
      </c>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row>
    <row r="60" ht="22.5" customHeight="1">
      <c r="A60" s="29" t="s">
        <v>1101</v>
      </c>
      <c r="B60" s="29" t="s">
        <v>1102</v>
      </c>
      <c r="C60" s="30">
        <v>5.515981621659E12</v>
      </c>
      <c r="D60" s="29"/>
      <c r="E60" s="29"/>
      <c r="F60" s="29"/>
      <c r="G60" s="29"/>
      <c r="H60" s="29" t="s">
        <v>66</v>
      </c>
      <c r="I60" s="29" t="s">
        <v>31</v>
      </c>
      <c r="J60" s="29" t="s">
        <v>32</v>
      </c>
      <c r="K60" s="29" t="s">
        <v>150</v>
      </c>
      <c r="L60" s="29" t="s">
        <v>31</v>
      </c>
      <c r="M60" s="29" t="s">
        <v>32</v>
      </c>
      <c r="N60" s="29" t="s">
        <v>206</v>
      </c>
      <c r="O60" s="29" t="s">
        <v>31</v>
      </c>
      <c r="P60" s="29" t="s">
        <v>32</v>
      </c>
      <c r="Q60" s="29" t="s">
        <v>36</v>
      </c>
      <c r="R60" s="29" t="s">
        <v>31</v>
      </c>
      <c r="S60" s="29" t="s">
        <v>32</v>
      </c>
      <c r="T60" s="29" t="s">
        <v>37</v>
      </c>
      <c r="U60" s="29" t="s">
        <v>1103</v>
      </c>
      <c r="V60" s="29" t="s">
        <v>70</v>
      </c>
      <c r="W60" s="29"/>
      <c r="X60" s="29"/>
      <c r="Y60" s="29"/>
      <c r="Z60" s="29"/>
      <c r="AA60" s="29"/>
      <c r="AB60" s="29"/>
      <c r="AC60" s="29"/>
      <c r="AD60" s="29"/>
      <c r="AE60" s="29"/>
    </row>
    <row r="61" ht="22.5" customHeight="1">
      <c r="A61" s="29" t="s">
        <v>1104</v>
      </c>
      <c r="B61" s="29" t="s">
        <v>912</v>
      </c>
      <c r="C61" s="30">
        <v>5.515991151293E12</v>
      </c>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row>
    <row r="62" ht="22.5" customHeight="1">
      <c r="A62" s="29" t="s">
        <v>1105</v>
      </c>
      <c r="B62" s="29" t="s">
        <v>1106</v>
      </c>
      <c r="C62" s="30">
        <v>5.515991040105E12</v>
      </c>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row>
    <row r="63" ht="22.5" customHeight="1">
      <c r="A63" s="29" t="s">
        <v>1107</v>
      </c>
      <c r="B63" s="29" t="s">
        <v>1108</v>
      </c>
      <c r="C63" s="30">
        <v>5.515991251722E12</v>
      </c>
      <c r="D63" s="29"/>
      <c r="E63" s="29"/>
      <c r="F63" s="29"/>
      <c r="G63" s="29"/>
      <c r="H63" s="29" t="s">
        <v>30</v>
      </c>
      <c r="I63" s="29" t="s">
        <v>31</v>
      </c>
      <c r="J63" s="29" t="s">
        <v>32</v>
      </c>
      <c r="K63" s="29" t="s">
        <v>150</v>
      </c>
      <c r="L63" s="29" t="s">
        <v>31</v>
      </c>
      <c r="M63" s="29" t="s">
        <v>32</v>
      </c>
      <c r="N63" s="29" t="s">
        <v>108</v>
      </c>
      <c r="O63" s="29" t="s">
        <v>31</v>
      </c>
      <c r="P63" s="29" t="s">
        <v>32</v>
      </c>
      <c r="Q63" s="29" t="s">
        <v>36</v>
      </c>
      <c r="R63" s="29" t="s">
        <v>31</v>
      </c>
      <c r="S63" s="29" t="s">
        <v>32</v>
      </c>
      <c r="T63" s="29"/>
      <c r="U63" s="29"/>
      <c r="V63" s="29"/>
      <c r="W63" s="29"/>
      <c r="X63" s="29"/>
      <c r="Y63" s="29"/>
      <c r="Z63" s="29"/>
      <c r="AA63" s="29"/>
      <c r="AB63" s="29"/>
      <c r="AC63" s="29"/>
      <c r="AD63" s="29"/>
      <c r="AE63" s="29"/>
    </row>
    <row r="64" ht="22.5" customHeight="1">
      <c r="A64" s="29" t="s">
        <v>1109</v>
      </c>
      <c r="B64" s="29" t="s">
        <v>983</v>
      </c>
      <c r="C64" s="30">
        <v>5.51599704055E12</v>
      </c>
      <c r="D64" s="29"/>
      <c r="E64" s="29"/>
      <c r="F64" s="29"/>
      <c r="G64" s="29"/>
      <c r="H64" s="29" t="s">
        <v>33</v>
      </c>
      <c r="I64" s="29" t="s">
        <v>131</v>
      </c>
      <c r="J64" s="29" t="s">
        <v>32</v>
      </c>
      <c r="K64" s="29" t="s">
        <v>35</v>
      </c>
      <c r="L64" s="29" t="s">
        <v>131</v>
      </c>
      <c r="M64" s="29" t="s">
        <v>32</v>
      </c>
      <c r="N64" s="29"/>
      <c r="O64" s="29"/>
      <c r="P64" s="29"/>
      <c r="Q64" s="29"/>
      <c r="R64" s="29"/>
      <c r="S64" s="29"/>
      <c r="T64" s="29"/>
      <c r="U64" s="29"/>
      <c r="V64" s="29"/>
      <c r="W64" s="29"/>
      <c r="X64" s="29"/>
      <c r="Y64" s="29"/>
      <c r="Z64" s="29"/>
      <c r="AA64" s="29"/>
      <c r="AB64" s="29"/>
      <c r="AC64" s="29"/>
      <c r="AD64" s="29"/>
      <c r="AE64" s="29"/>
    </row>
    <row r="65" ht="22.5" customHeight="1">
      <c r="A65" s="29" t="s">
        <v>1110</v>
      </c>
      <c r="B65" s="29" t="s">
        <v>1111</v>
      </c>
      <c r="C65" s="30">
        <v>5.515997028416E12</v>
      </c>
      <c r="D65" s="29"/>
      <c r="E65" s="29"/>
      <c r="F65" s="29"/>
      <c r="G65" s="29"/>
      <c r="H65" s="29" t="s">
        <v>150</v>
      </c>
      <c r="I65" s="29" t="s">
        <v>31</v>
      </c>
      <c r="J65" s="29" t="s">
        <v>32</v>
      </c>
      <c r="K65" s="29" t="s">
        <v>130</v>
      </c>
      <c r="L65" s="29" t="s">
        <v>104</v>
      </c>
      <c r="M65" s="29" t="s">
        <v>32</v>
      </c>
      <c r="N65" s="29" t="s">
        <v>133</v>
      </c>
      <c r="O65" s="29" t="s">
        <v>104</v>
      </c>
      <c r="P65" s="29" t="s">
        <v>32</v>
      </c>
      <c r="Q65" s="29"/>
      <c r="R65" s="29"/>
      <c r="S65" s="29"/>
      <c r="T65" s="29"/>
      <c r="U65" s="29"/>
      <c r="V65" s="29"/>
      <c r="W65" s="29"/>
      <c r="X65" s="29"/>
      <c r="Y65" s="29"/>
      <c r="Z65" s="29"/>
      <c r="AA65" s="29"/>
      <c r="AB65" s="29"/>
      <c r="AC65" s="29"/>
      <c r="AD65" s="29"/>
      <c r="AE65" s="29"/>
    </row>
    <row r="66" ht="22.5" customHeight="1">
      <c r="A66" s="29" t="s">
        <v>1112</v>
      </c>
      <c r="B66" s="29" t="s">
        <v>1113</v>
      </c>
      <c r="C66" s="30">
        <v>5.515996894997E12</v>
      </c>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row>
    <row r="67" ht="22.5" customHeight="1">
      <c r="A67" s="29" t="s">
        <v>1114</v>
      </c>
      <c r="B67" s="29" t="s">
        <v>1115</v>
      </c>
      <c r="C67" s="30">
        <v>5.515981438095E12</v>
      </c>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row>
    <row r="68" ht="22.5" customHeight="1">
      <c r="A68" s="29" t="s">
        <v>1116</v>
      </c>
      <c r="B68" s="29" t="s">
        <v>1117</v>
      </c>
      <c r="C68" s="30">
        <v>5.515997193585E12</v>
      </c>
      <c r="D68" s="29"/>
      <c r="E68" s="29"/>
      <c r="F68" s="29"/>
      <c r="G68" s="29"/>
      <c r="H68" s="29" t="s">
        <v>30</v>
      </c>
      <c r="I68" s="29" t="s">
        <v>31</v>
      </c>
      <c r="J68" s="29" t="s">
        <v>32</v>
      </c>
      <c r="K68" s="29" t="s">
        <v>150</v>
      </c>
      <c r="L68" s="29" t="s">
        <v>31</v>
      </c>
      <c r="M68" s="29" t="s">
        <v>32</v>
      </c>
      <c r="N68" s="29" t="s">
        <v>108</v>
      </c>
      <c r="O68" s="29" t="s">
        <v>31</v>
      </c>
      <c r="P68" s="29" t="s">
        <v>32</v>
      </c>
      <c r="Q68" s="29"/>
      <c r="R68" s="29"/>
      <c r="S68" s="29"/>
      <c r="T68" s="29"/>
      <c r="U68" s="29"/>
      <c r="V68" s="29"/>
      <c r="W68" s="29"/>
      <c r="X68" s="29"/>
      <c r="Y68" s="29"/>
      <c r="Z68" s="29"/>
      <c r="AA68" s="29"/>
      <c r="AB68" s="29"/>
      <c r="AC68" s="29"/>
      <c r="AD68" s="29"/>
      <c r="AE68" s="29"/>
    </row>
    <row r="69" ht="22.5" customHeight="1">
      <c r="A69" s="29" t="s">
        <v>1118</v>
      </c>
      <c r="B69" s="29" t="s">
        <v>1119</v>
      </c>
      <c r="C69" s="30">
        <v>5.51599789807E12</v>
      </c>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row>
    <row r="70" ht="22.5" customHeight="1">
      <c r="A70" s="29" t="s">
        <v>1120</v>
      </c>
      <c r="B70" s="29" t="s">
        <v>1121</v>
      </c>
      <c r="C70" s="30">
        <v>5.515996629026E12</v>
      </c>
      <c r="D70" s="29"/>
      <c r="E70" s="29"/>
      <c r="F70" s="29"/>
      <c r="G70" s="29"/>
      <c r="H70" s="29" t="s">
        <v>150</v>
      </c>
      <c r="I70" s="29" t="s">
        <v>31</v>
      </c>
      <c r="J70" s="29" t="s">
        <v>32</v>
      </c>
      <c r="K70" s="29" t="s">
        <v>83</v>
      </c>
      <c r="L70" s="29" t="s">
        <v>84</v>
      </c>
      <c r="M70" s="29" t="s">
        <v>32</v>
      </c>
      <c r="N70" s="29"/>
      <c r="O70" s="29"/>
      <c r="P70" s="29"/>
      <c r="Q70" s="29"/>
      <c r="R70" s="29"/>
      <c r="S70" s="29"/>
      <c r="T70" s="29"/>
      <c r="U70" s="29"/>
      <c r="V70" s="29"/>
      <c r="W70" s="29"/>
      <c r="X70" s="29"/>
      <c r="Y70" s="29"/>
      <c r="Z70" s="29"/>
      <c r="AA70" s="29"/>
      <c r="AB70" s="29"/>
      <c r="AC70" s="29"/>
      <c r="AD70" s="29"/>
      <c r="AE70" s="29"/>
    </row>
    <row r="71" ht="22.5" customHeight="1">
      <c r="A71" s="29" t="s">
        <v>1122</v>
      </c>
      <c r="B71" s="29" t="s">
        <v>1123</v>
      </c>
      <c r="C71" s="30">
        <v>5.515991639112E12</v>
      </c>
      <c r="D71" s="29"/>
      <c r="E71" s="29"/>
      <c r="F71" s="29"/>
      <c r="G71" s="29"/>
      <c r="H71" s="29" t="s">
        <v>150</v>
      </c>
      <c r="I71" s="29" t="s">
        <v>31</v>
      </c>
      <c r="J71" s="29" t="s">
        <v>32</v>
      </c>
      <c r="K71" s="29" t="s">
        <v>206</v>
      </c>
      <c r="L71" s="29" t="s">
        <v>31</v>
      </c>
      <c r="M71" s="29" t="s">
        <v>32</v>
      </c>
      <c r="N71" s="29" t="s">
        <v>37</v>
      </c>
      <c r="O71" s="29" t="s">
        <v>1124</v>
      </c>
      <c r="P71" s="29" t="s">
        <v>170</v>
      </c>
      <c r="Q71" s="29"/>
      <c r="R71" s="29"/>
      <c r="S71" s="29"/>
      <c r="T71" s="29"/>
      <c r="U71" s="29"/>
      <c r="V71" s="29"/>
      <c r="W71" s="29"/>
      <c r="X71" s="29"/>
      <c r="Y71" s="29"/>
      <c r="Z71" s="29"/>
      <c r="AA71" s="29"/>
      <c r="AB71" s="29"/>
      <c r="AC71" s="29"/>
      <c r="AD71" s="29"/>
      <c r="AE71" s="29"/>
    </row>
    <row r="72" ht="22.5" customHeight="1">
      <c r="A72" s="29" t="s">
        <v>1125</v>
      </c>
      <c r="B72" s="29" t="s">
        <v>1126</v>
      </c>
      <c r="C72" s="30">
        <v>5.515981061954E12</v>
      </c>
      <c r="D72" s="29"/>
      <c r="E72" s="29"/>
      <c r="F72" s="29"/>
      <c r="G72" s="29"/>
      <c r="H72" s="29" t="s">
        <v>150</v>
      </c>
      <c r="I72" s="29" t="s">
        <v>31</v>
      </c>
      <c r="J72" s="29" t="s">
        <v>32</v>
      </c>
      <c r="K72" s="29" t="s">
        <v>59</v>
      </c>
      <c r="L72" s="29" t="s">
        <v>60</v>
      </c>
      <c r="M72" s="29" t="s">
        <v>61</v>
      </c>
      <c r="N72" s="29" t="s">
        <v>174</v>
      </c>
      <c r="O72" s="29" t="s">
        <v>588</v>
      </c>
      <c r="P72" s="29" t="s">
        <v>32</v>
      </c>
      <c r="Q72" s="29"/>
      <c r="R72" s="29"/>
      <c r="S72" s="29"/>
      <c r="T72" s="29"/>
      <c r="U72" s="29"/>
      <c r="V72" s="29"/>
      <c r="W72" s="29"/>
      <c r="X72" s="29"/>
      <c r="Y72" s="29"/>
      <c r="Z72" s="29"/>
      <c r="AA72" s="29"/>
      <c r="AB72" s="29"/>
      <c r="AC72" s="29"/>
      <c r="AD72" s="29"/>
      <c r="AE72" s="29"/>
    </row>
    <row r="73" ht="22.5" customHeight="1">
      <c r="A73" s="29" t="s">
        <v>1127</v>
      </c>
      <c r="B73" s="29" t="s">
        <v>1128</v>
      </c>
      <c r="C73" s="30">
        <v>5.515991518685E12</v>
      </c>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row>
    <row r="74" ht="22.5" customHeight="1">
      <c r="A74" s="29" t="s">
        <v>1129</v>
      </c>
      <c r="B74" s="29" t="s">
        <v>1130</v>
      </c>
      <c r="C74" s="30">
        <v>5.515991405583E12</v>
      </c>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row>
    <row r="75" ht="22.5" customHeight="1">
      <c r="A75" s="29" t="s">
        <v>1131</v>
      </c>
      <c r="B75" s="29" t="s">
        <v>1132</v>
      </c>
      <c r="C75" s="30">
        <v>5.515996085519E12</v>
      </c>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row>
    <row r="76" ht="22.5" customHeight="1">
      <c r="A76" s="29" t="s">
        <v>1133</v>
      </c>
      <c r="B76" s="29" t="s">
        <v>1134</v>
      </c>
      <c r="C76" s="30">
        <v>5.515988432926E12</v>
      </c>
      <c r="D76" s="29"/>
      <c r="E76" s="29"/>
      <c r="F76" s="29"/>
      <c r="G76" s="29"/>
      <c r="H76" s="29" t="s">
        <v>938</v>
      </c>
      <c r="I76" s="29" t="s">
        <v>31</v>
      </c>
      <c r="J76" s="29" t="s">
        <v>32</v>
      </c>
      <c r="K76" s="29" t="s">
        <v>150</v>
      </c>
      <c r="L76" s="29" t="s">
        <v>31</v>
      </c>
      <c r="M76" s="29" t="s">
        <v>32</v>
      </c>
      <c r="N76" s="29" t="s">
        <v>783</v>
      </c>
      <c r="O76" s="29" t="s">
        <v>1135</v>
      </c>
      <c r="P76" s="29" t="s">
        <v>32</v>
      </c>
      <c r="Q76" s="29" t="s">
        <v>36</v>
      </c>
      <c r="R76" s="29" t="s">
        <v>31</v>
      </c>
      <c r="S76" s="29" t="s">
        <v>32</v>
      </c>
      <c r="T76" s="29" t="s">
        <v>37</v>
      </c>
      <c r="U76" s="29" t="s">
        <v>1136</v>
      </c>
      <c r="V76" s="29" t="s">
        <v>70</v>
      </c>
      <c r="W76" s="29"/>
      <c r="X76" s="29"/>
      <c r="Y76" s="29"/>
      <c r="Z76" s="29"/>
      <c r="AA76" s="29"/>
      <c r="AB76" s="29"/>
      <c r="AC76" s="29"/>
      <c r="AD76" s="29"/>
      <c r="AE76" s="29"/>
    </row>
    <row r="77" ht="22.5" customHeight="1">
      <c r="A77" s="29" t="s">
        <v>1137</v>
      </c>
      <c r="B77" s="29" t="s">
        <v>1138</v>
      </c>
      <c r="C77" s="30">
        <v>5.5159911663E12</v>
      </c>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row>
    <row r="78" ht="22.5" customHeight="1">
      <c r="A78" s="29" t="s">
        <v>1139</v>
      </c>
      <c r="B78" s="29" t="s">
        <v>1140</v>
      </c>
      <c r="C78" s="30">
        <v>5.511992943306E12</v>
      </c>
      <c r="D78" s="29"/>
      <c r="E78" s="29"/>
      <c r="F78" s="29"/>
      <c r="G78" s="29"/>
      <c r="H78" s="29" t="s">
        <v>43</v>
      </c>
      <c r="I78" s="29" t="s">
        <v>44</v>
      </c>
      <c r="J78" s="29" t="s">
        <v>32</v>
      </c>
      <c r="K78" s="29" t="s">
        <v>150</v>
      </c>
      <c r="L78" s="29" t="s">
        <v>31</v>
      </c>
      <c r="M78" s="29" t="s">
        <v>32</v>
      </c>
      <c r="N78" s="29" t="s">
        <v>367</v>
      </c>
      <c r="O78" s="29" t="s">
        <v>50</v>
      </c>
      <c r="P78" s="29" t="s">
        <v>32</v>
      </c>
      <c r="Q78" s="29" t="s">
        <v>108</v>
      </c>
      <c r="R78" s="29" t="s">
        <v>31</v>
      </c>
      <c r="S78" s="29" t="s">
        <v>32</v>
      </c>
      <c r="T78" s="29" t="s">
        <v>36</v>
      </c>
      <c r="U78" s="29" t="s">
        <v>31</v>
      </c>
      <c r="V78" s="29" t="s">
        <v>32</v>
      </c>
      <c r="W78" s="29" t="s">
        <v>168</v>
      </c>
      <c r="X78" s="29" t="s">
        <v>31</v>
      </c>
      <c r="Y78" s="29" t="s">
        <v>32</v>
      </c>
      <c r="Z78" s="29"/>
      <c r="AA78" s="29"/>
      <c r="AB78" s="29"/>
      <c r="AC78" s="29"/>
      <c r="AD78" s="29"/>
      <c r="AE78" s="29"/>
    </row>
    <row r="79" ht="22.5" customHeight="1">
      <c r="A79" s="29" t="s">
        <v>1141</v>
      </c>
      <c r="B79" s="29" t="s">
        <v>1142</v>
      </c>
      <c r="C79" s="30">
        <v>5.515988085817E12</v>
      </c>
      <c r="D79" s="29"/>
      <c r="E79" s="29"/>
      <c r="F79" s="29"/>
      <c r="G79" s="29"/>
      <c r="H79" s="29" t="s">
        <v>150</v>
      </c>
      <c r="I79" s="29" t="s">
        <v>31</v>
      </c>
      <c r="J79" s="29" t="s">
        <v>32</v>
      </c>
      <c r="K79" s="29" t="s">
        <v>361</v>
      </c>
      <c r="L79" s="29" t="s">
        <v>104</v>
      </c>
      <c r="M79" s="29" t="s">
        <v>32</v>
      </c>
      <c r="N79" s="29" t="s">
        <v>36</v>
      </c>
      <c r="O79" s="29" t="s">
        <v>31</v>
      </c>
      <c r="P79" s="29" t="s">
        <v>32</v>
      </c>
      <c r="Q79" s="29" t="s">
        <v>37</v>
      </c>
      <c r="R79" s="29" t="s">
        <v>131</v>
      </c>
      <c r="S79" s="29" t="s">
        <v>32</v>
      </c>
      <c r="T79" s="29"/>
      <c r="U79" s="29"/>
      <c r="V79" s="29"/>
      <c r="W79" s="29"/>
      <c r="X79" s="29"/>
      <c r="Y79" s="29"/>
      <c r="Z79" s="29"/>
      <c r="AA79" s="29"/>
      <c r="AB79" s="29"/>
      <c r="AC79" s="29"/>
      <c r="AD79" s="29"/>
      <c r="AE79" s="29"/>
    </row>
    <row r="80" ht="22.5" customHeight="1">
      <c r="A80" s="29" t="s">
        <v>1143</v>
      </c>
      <c r="B80" s="29" t="s">
        <v>1144</v>
      </c>
      <c r="C80" s="30">
        <v>5.515981327134E12</v>
      </c>
      <c r="D80" s="29"/>
      <c r="E80" s="29"/>
      <c r="F80" s="29"/>
      <c r="G80" s="29"/>
      <c r="H80" s="29" t="s">
        <v>150</v>
      </c>
      <c r="I80" s="29" t="s">
        <v>31</v>
      </c>
      <c r="J80" s="29" t="s">
        <v>32</v>
      </c>
      <c r="K80" s="29" t="s">
        <v>37</v>
      </c>
      <c r="L80" s="29" t="s">
        <v>1145</v>
      </c>
      <c r="M80" s="29" t="s">
        <v>46</v>
      </c>
      <c r="N80" s="29"/>
      <c r="O80" s="29"/>
      <c r="P80" s="29"/>
      <c r="Q80" s="29"/>
      <c r="R80" s="29"/>
      <c r="S80" s="29"/>
      <c r="T80" s="29"/>
      <c r="U80" s="29"/>
      <c r="V80" s="29"/>
      <c r="W80" s="29"/>
      <c r="X80" s="29"/>
      <c r="Y80" s="29"/>
      <c r="Z80" s="29"/>
      <c r="AA80" s="29"/>
      <c r="AB80" s="29"/>
      <c r="AC80" s="29"/>
      <c r="AD80" s="29"/>
      <c r="AE80" s="29"/>
    </row>
    <row r="81" ht="22.5" customHeight="1">
      <c r="A81" s="29" t="s">
        <v>1146</v>
      </c>
      <c r="B81" s="29" t="s">
        <v>1147</v>
      </c>
      <c r="C81" s="30">
        <v>5.51598810047E12</v>
      </c>
      <c r="D81" s="29"/>
      <c r="E81" s="29"/>
      <c r="F81" s="29"/>
      <c r="G81" s="29"/>
      <c r="H81" s="29" t="s">
        <v>150</v>
      </c>
      <c r="I81" s="29" t="s">
        <v>31</v>
      </c>
      <c r="J81" s="29" t="s">
        <v>32</v>
      </c>
      <c r="K81" s="29" t="s">
        <v>132</v>
      </c>
      <c r="L81" s="29" t="s">
        <v>63</v>
      </c>
      <c r="M81" s="29" t="s">
        <v>32</v>
      </c>
      <c r="N81" s="29" t="s">
        <v>37</v>
      </c>
      <c r="O81" s="29" t="s">
        <v>63</v>
      </c>
      <c r="P81" s="29" t="s">
        <v>32</v>
      </c>
      <c r="Q81" s="29"/>
      <c r="R81" s="29"/>
      <c r="S81" s="29"/>
      <c r="T81" s="29"/>
      <c r="U81" s="29"/>
      <c r="V81" s="29"/>
      <c r="W81" s="29"/>
      <c r="X81" s="29"/>
      <c r="Y81" s="29"/>
      <c r="Z81" s="29"/>
      <c r="AA81" s="29"/>
      <c r="AB81" s="29"/>
      <c r="AC81" s="29"/>
      <c r="AD81" s="29"/>
      <c r="AE81" s="29"/>
    </row>
    <row r="82" ht="22.5" customHeight="1">
      <c r="A82" s="29" t="s">
        <v>1148</v>
      </c>
      <c r="B82" s="29" t="s">
        <v>1149</v>
      </c>
      <c r="C82" s="30">
        <v>5.515997903083E12</v>
      </c>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row>
    <row r="83" ht="22.5" customHeight="1">
      <c r="A83" s="29" t="s">
        <v>1150</v>
      </c>
      <c r="B83" s="29" t="s">
        <v>1151</v>
      </c>
      <c r="C83" s="30">
        <v>5.515991966832E12</v>
      </c>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row>
    <row r="84" ht="22.5" customHeight="1">
      <c r="A84" s="29" t="s">
        <v>1152</v>
      </c>
      <c r="B84" s="29" t="s">
        <v>1153</v>
      </c>
      <c r="C84" s="30">
        <v>5.515997547279E12</v>
      </c>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row>
    <row r="85" ht="22.5" customHeight="1">
      <c r="A85" s="29" t="s">
        <v>1154</v>
      </c>
      <c r="B85" s="29" t="s">
        <v>1155</v>
      </c>
      <c r="C85" s="30">
        <v>5.515996058803E12</v>
      </c>
      <c r="D85" s="29"/>
      <c r="E85" s="29"/>
      <c r="F85" s="29"/>
      <c r="G85" s="29"/>
      <c r="H85" s="29" t="s">
        <v>150</v>
      </c>
      <c r="I85" s="29" t="s">
        <v>31</v>
      </c>
      <c r="J85" s="29" t="s">
        <v>32</v>
      </c>
      <c r="K85" s="29" t="s">
        <v>108</v>
      </c>
      <c r="L85" s="29" t="s">
        <v>31</v>
      </c>
      <c r="M85" s="29" t="s">
        <v>32</v>
      </c>
      <c r="N85" s="29" t="s">
        <v>37</v>
      </c>
      <c r="O85" s="29" t="s">
        <v>1156</v>
      </c>
      <c r="P85" s="29" t="s">
        <v>170</v>
      </c>
      <c r="Q85" s="29"/>
      <c r="R85" s="29"/>
      <c r="S85" s="29"/>
      <c r="T85" s="29"/>
      <c r="U85" s="29"/>
      <c r="V85" s="29"/>
      <c r="W85" s="29"/>
      <c r="X85" s="29"/>
      <c r="Y85" s="29"/>
      <c r="Z85" s="29"/>
      <c r="AA85" s="29"/>
      <c r="AB85" s="29"/>
      <c r="AC85" s="29"/>
      <c r="AD85" s="29"/>
      <c r="AE85" s="29"/>
    </row>
    <row r="86" ht="22.5" customHeight="1">
      <c r="A86" s="29" t="s">
        <v>1157</v>
      </c>
      <c r="B86" s="29" t="s">
        <v>1158</v>
      </c>
      <c r="C86" s="30">
        <v>5.515981609396E12</v>
      </c>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row>
    <row r="87" ht="22.5" customHeight="1">
      <c r="A87" s="29" t="s">
        <v>1159</v>
      </c>
      <c r="B87" s="29" t="s">
        <v>1160</v>
      </c>
      <c r="C87" s="30">
        <v>5.515996174118E12</v>
      </c>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row>
    <row r="88" ht="22.5" customHeight="1">
      <c r="A88" s="29" t="s">
        <v>1161</v>
      </c>
      <c r="B88" s="29" t="s">
        <v>1162</v>
      </c>
      <c r="C88" s="30">
        <v>5.51598822074E12</v>
      </c>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row>
    <row r="89" ht="22.5" customHeight="1">
      <c r="A89" s="29" t="s">
        <v>1163</v>
      </c>
      <c r="B89" s="29" t="s">
        <v>1160</v>
      </c>
      <c r="C89" s="30">
        <v>5.515988027846E12</v>
      </c>
      <c r="D89" s="29"/>
      <c r="E89" s="29"/>
      <c r="F89" s="29"/>
      <c r="G89" s="29"/>
      <c r="H89" s="29" t="s">
        <v>150</v>
      </c>
      <c r="I89" s="29" t="s">
        <v>31</v>
      </c>
      <c r="J89" s="29" t="s">
        <v>32</v>
      </c>
      <c r="K89" s="29" t="s">
        <v>132</v>
      </c>
      <c r="L89" s="29" t="s">
        <v>38</v>
      </c>
      <c r="M89" s="29" t="s">
        <v>32</v>
      </c>
      <c r="N89" s="29"/>
      <c r="O89" s="29"/>
      <c r="P89" s="29"/>
      <c r="Q89" s="29"/>
      <c r="R89" s="29"/>
      <c r="S89" s="29"/>
      <c r="T89" s="29"/>
      <c r="U89" s="29"/>
      <c r="V89" s="29"/>
      <c r="W89" s="29"/>
      <c r="X89" s="29"/>
      <c r="Y89" s="29"/>
      <c r="Z89" s="29"/>
      <c r="AA89" s="29"/>
      <c r="AB89" s="29"/>
      <c r="AC89" s="29"/>
      <c r="AD89" s="29"/>
      <c r="AE89" s="29"/>
    </row>
    <row r="90" ht="22.5" customHeight="1">
      <c r="A90" s="29" t="s">
        <v>1164</v>
      </c>
      <c r="B90" s="29" t="s">
        <v>1165</v>
      </c>
      <c r="C90" s="30">
        <v>5.515981564969E12</v>
      </c>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row>
    <row r="91" ht="22.5" customHeight="1">
      <c r="A91" s="29" t="s">
        <v>1166</v>
      </c>
      <c r="B91" s="29" t="s">
        <v>1167</v>
      </c>
      <c r="C91" s="30">
        <v>5.515991314033E12</v>
      </c>
      <c r="D91" s="29"/>
      <c r="E91" s="29"/>
      <c r="F91" s="29"/>
      <c r="G91" s="29"/>
      <c r="H91" s="29" t="s">
        <v>150</v>
      </c>
      <c r="I91" s="29" t="s">
        <v>31</v>
      </c>
      <c r="J91" s="29" t="s">
        <v>32</v>
      </c>
      <c r="K91" s="29" t="s">
        <v>108</v>
      </c>
      <c r="L91" s="29" t="s">
        <v>31</v>
      </c>
      <c r="M91" s="29" t="s">
        <v>32</v>
      </c>
      <c r="N91" s="29" t="s">
        <v>37</v>
      </c>
      <c r="O91" s="29" t="s">
        <v>1168</v>
      </c>
      <c r="P91" s="29" t="s">
        <v>70</v>
      </c>
      <c r="Q91" s="29"/>
      <c r="R91" s="29"/>
      <c r="S91" s="29"/>
      <c r="T91" s="29"/>
      <c r="U91" s="29"/>
      <c r="V91" s="29"/>
      <c r="W91" s="29"/>
      <c r="X91" s="29"/>
      <c r="Y91" s="29"/>
      <c r="Z91" s="29"/>
      <c r="AA91" s="29"/>
      <c r="AB91" s="29"/>
      <c r="AC91" s="29"/>
      <c r="AD91" s="29"/>
      <c r="AE91" s="29"/>
    </row>
    <row r="92" ht="22.5" customHeight="1">
      <c r="A92" s="29" t="s">
        <v>1169</v>
      </c>
      <c r="B92" s="29" t="s">
        <v>1051</v>
      </c>
      <c r="C92" s="30">
        <v>5.515991579665E12</v>
      </c>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row>
    <row r="93" ht="22.5" customHeight="1">
      <c r="A93" s="29" t="s">
        <v>1170</v>
      </c>
      <c r="B93" s="29" t="s">
        <v>1171</v>
      </c>
      <c r="C93" s="30">
        <v>5.515997048267E12</v>
      </c>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row>
    <row r="94" ht="22.5" customHeight="1">
      <c r="A94" s="29" t="s">
        <v>1172</v>
      </c>
      <c r="B94" s="29" t="s">
        <v>1173</v>
      </c>
      <c r="C94" s="30">
        <v>5.5159816879E12</v>
      </c>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row>
    <row r="95" ht="22.5" customHeight="1">
      <c r="A95" s="29" t="s">
        <v>1174</v>
      </c>
      <c r="B95" s="29" t="s">
        <v>912</v>
      </c>
      <c r="C95" s="30">
        <v>5.515991151293E12</v>
      </c>
      <c r="D95" s="29"/>
      <c r="E95" s="29"/>
      <c r="F95" s="29"/>
      <c r="G95" s="29"/>
      <c r="H95" s="29" t="s">
        <v>150</v>
      </c>
      <c r="I95" s="29" t="s">
        <v>31</v>
      </c>
      <c r="J95" s="29" t="s">
        <v>32</v>
      </c>
      <c r="K95" s="29" t="s">
        <v>108</v>
      </c>
      <c r="L95" s="29" t="s">
        <v>31</v>
      </c>
      <c r="M95" s="29" t="s">
        <v>32</v>
      </c>
      <c r="N95" s="29" t="s">
        <v>37</v>
      </c>
      <c r="O95" s="29" t="s">
        <v>1175</v>
      </c>
      <c r="P95" s="29" t="s">
        <v>70</v>
      </c>
      <c r="Q95" s="29"/>
      <c r="R95" s="29"/>
      <c r="S95" s="29"/>
      <c r="T95" s="29"/>
      <c r="U95" s="29"/>
      <c r="V95" s="29"/>
      <c r="W95" s="29"/>
      <c r="X95" s="29"/>
      <c r="Y95" s="29"/>
      <c r="Z95" s="29"/>
      <c r="AA95" s="29"/>
      <c r="AB95" s="29"/>
      <c r="AC95" s="29"/>
      <c r="AD95" s="29"/>
      <c r="AE95" s="29"/>
    </row>
    <row r="96" ht="22.5" customHeight="1">
      <c r="A96" s="29" t="s">
        <v>1176</v>
      </c>
      <c r="B96" s="29" t="s">
        <v>1177</v>
      </c>
      <c r="C96" s="30">
        <v>5.515992666981E12</v>
      </c>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row>
    <row r="97" ht="22.5" customHeight="1">
      <c r="A97" s="29" t="s">
        <v>1178</v>
      </c>
      <c r="B97" s="29" t="s">
        <v>1179</v>
      </c>
      <c r="C97" s="30">
        <v>5.511944909708E12</v>
      </c>
      <c r="D97" s="29"/>
      <c r="E97" s="29"/>
      <c r="F97" s="29"/>
      <c r="G97" s="29"/>
      <c r="H97" s="29" t="s">
        <v>108</v>
      </c>
      <c r="I97" s="29" t="s">
        <v>31</v>
      </c>
      <c r="J97" s="29" t="s">
        <v>32</v>
      </c>
      <c r="K97" s="29" t="s">
        <v>36</v>
      </c>
      <c r="L97" s="29" t="s">
        <v>31</v>
      </c>
      <c r="M97" s="29" t="s">
        <v>32</v>
      </c>
      <c r="N97" s="29" t="s">
        <v>37</v>
      </c>
      <c r="O97" s="29" t="s">
        <v>1180</v>
      </c>
      <c r="P97" s="29" t="s">
        <v>56</v>
      </c>
      <c r="Q97" s="29"/>
      <c r="R97" s="29"/>
      <c r="S97" s="29"/>
      <c r="T97" s="29"/>
      <c r="U97" s="29"/>
      <c r="V97" s="29"/>
      <c r="W97" s="29"/>
      <c r="X97" s="29"/>
      <c r="Y97" s="29"/>
      <c r="Z97" s="29"/>
      <c r="AA97" s="29"/>
      <c r="AB97" s="29"/>
      <c r="AC97" s="29"/>
      <c r="AD97" s="29"/>
      <c r="AE97" s="29"/>
    </row>
    <row r="98" ht="22.5" customHeight="1">
      <c r="A98" s="29" t="s">
        <v>1181</v>
      </c>
      <c r="B98" s="29" t="s">
        <v>1182</v>
      </c>
      <c r="C98" s="30">
        <v>5.514988083861E12</v>
      </c>
      <c r="D98" s="29"/>
      <c r="E98" s="29"/>
      <c r="F98" s="29"/>
      <c r="G98" s="29"/>
      <c r="H98" s="29" t="s">
        <v>108</v>
      </c>
      <c r="I98" s="29" t="s">
        <v>31</v>
      </c>
      <c r="J98" s="29" t="s">
        <v>32</v>
      </c>
      <c r="K98" s="29" t="s">
        <v>36</v>
      </c>
      <c r="L98" s="29" t="s">
        <v>31</v>
      </c>
      <c r="M98" s="29" t="s">
        <v>32</v>
      </c>
      <c r="N98" s="29" t="s">
        <v>37</v>
      </c>
      <c r="O98" s="29" t="s">
        <v>1183</v>
      </c>
      <c r="P98" s="29" t="s">
        <v>56</v>
      </c>
      <c r="Q98" s="29"/>
      <c r="R98" s="29"/>
      <c r="S98" s="29"/>
      <c r="T98" s="29"/>
      <c r="U98" s="29"/>
      <c r="V98" s="29"/>
      <c r="W98" s="29"/>
      <c r="X98" s="29"/>
      <c r="Y98" s="29"/>
      <c r="Z98" s="29"/>
      <c r="AA98" s="29"/>
      <c r="AB98" s="29"/>
      <c r="AC98" s="29"/>
      <c r="AD98" s="29"/>
      <c r="AE98" s="29"/>
    </row>
    <row r="99" ht="22.5" customHeight="1">
      <c r="A99" s="29" t="s">
        <v>1184</v>
      </c>
      <c r="B99" s="29" t="s">
        <v>1185</v>
      </c>
      <c r="C99" s="30">
        <v>5.515991646535E12</v>
      </c>
      <c r="D99" s="29"/>
      <c r="E99" s="29"/>
      <c r="F99" s="29"/>
      <c r="G99" s="29"/>
      <c r="H99" s="29" t="s">
        <v>150</v>
      </c>
      <c r="I99" s="29" t="s">
        <v>31</v>
      </c>
      <c r="J99" s="29" t="s">
        <v>32</v>
      </c>
      <c r="K99" s="29" t="s">
        <v>108</v>
      </c>
      <c r="L99" s="29" t="s">
        <v>31</v>
      </c>
      <c r="M99" s="29" t="s">
        <v>32</v>
      </c>
      <c r="N99" s="29" t="s">
        <v>37</v>
      </c>
      <c r="O99" s="29" t="s">
        <v>1186</v>
      </c>
      <c r="P99" s="29" t="s">
        <v>61</v>
      </c>
      <c r="Q99" s="29"/>
      <c r="R99" s="29"/>
      <c r="S99" s="29"/>
      <c r="T99" s="29"/>
      <c r="U99" s="29"/>
      <c r="V99" s="29"/>
      <c r="W99" s="29"/>
      <c r="X99" s="29"/>
      <c r="Y99" s="29"/>
      <c r="Z99" s="29"/>
      <c r="AA99" s="29"/>
      <c r="AB99" s="29"/>
      <c r="AC99" s="29"/>
      <c r="AD99" s="29"/>
      <c r="AE99" s="29"/>
    </row>
    <row r="100" ht="22.5" customHeight="1">
      <c r="A100" s="29" t="s">
        <v>1187</v>
      </c>
      <c r="B100" s="29" t="s">
        <v>643</v>
      </c>
      <c r="C100" s="30">
        <v>5.5159813537E12</v>
      </c>
      <c r="D100" s="29"/>
      <c r="E100" s="29"/>
      <c r="F100" s="29"/>
      <c r="G100" s="29"/>
      <c r="H100" s="29" t="s">
        <v>150</v>
      </c>
      <c r="I100" s="29" t="s">
        <v>31</v>
      </c>
      <c r="J100" s="29" t="s">
        <v>32</v>
      </c>
      <c r="K100" s="29" t="s">
        <v>212</v>
      </c>
      <c r="L100" s="29" t="s">
        <v>140</v>
      </c>
      <c r="M100" s="29" t="s">
        <v>32</v>
      </c>
      <c r="N100" s="29"/>
      <c r="O100" s="29"/>
      <c r="P100" s="29"/>
      <c r="Q100" s="29"/>
      <c r="R100" s="29"/>
      <c r="S100" s="29"/>
      <c r="T100" s="29"/>
      <c r="U100" s="29"/>
      <c r="V100" s="29"/>
      <c r="W100" s="29"/>
      <c r="X100" s="29"/>
      <c r="Y100" s="29"/>
      <c r="Z100" s="29"/>
      <c r="AA100" s="29"/>
      <c r="AB100" s="29"/>
      <c r="AC100" s="29"/>
      <c r="AD100" s="29"/>
      <c r="AE100" s="29"/>
    </row>
    <row r="101" ht="22.5" customHeight="1">
      <c r="A101" s="29" t="s">
        <v>1188</v>
      </c>
      <c r="B101" s="29" t="s">
        <v>1189</v>
      </c>
      <c r="C101" s="30">
        <v>5.515988076904E12</v>
      </c>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row>
    <row r="102" ht="22.5" customHeight="1">
      <c r="A102" s="29" t="s">
        <v>1190</v>
      </c>
      <c r="B102" s="29" t="s">
        <v>1191</v>
      </c>
      <c r="C102" s="30">
        <v>5.51598802312E12</v>
      </c>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row>
    <row r="103" ht="22.5" customHeight="1">
      <c r="A103" s="29" t="s">
        <v>1192</v>
      </c>
      <c r="B103" s="29" t="s">
        <v>1193</v>
      </c>
      <c r="C103" s="30">
        <v>5.515997890109E12</v>
      </c>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row>
    <row r="104" ht="22.5" customHeight="1">
      <c r="A104" s="29" t="s">
        <v>1194</v>
      </c>
      <c r="B104" s="29" t="s">
        <v>1195</v>
      </c>
      <c r="C104" s="30">
        <v>5.515992473021E12</v>
      </c>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row>
    <row r="105" ht="22.5" customHeight="1">
      <c r="A105" s="29" t="s">
        <v>1196</v>
      </c>
      <c r="B105" s="29" t="s">
        <v>1197</v>
      </c>
      <c r="C105" s="30">
        <v>5.515991679239E12</v>
      </c>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row>
    <row r="106" ht="22.5" customHeight="1">
      <c r="A106" s="29" t="s">
        <v>1198</v>
      </c>
      <c r="B106" s="29" t="s">
        <v>1199</v>
      </c>
      <c r="C106" s="30">
        <v>5.515981643462E12</v>
      </c>
      <c r="D106" s="29"/>
      <c r="E106" s="29"/>
      <c r="F106" s="29"/>
      <c r="G106" s="29"/>
      <c r="H106" s="29" t="s">
        <v>150</v>
      </c>
      <c r="I106" s="29" t="s">
        <v>31</v>
      </c>
      <c r="J106" s="29" t="s">
        <v>32</v>
      </c>
      <c r="K106" s="29" t="s">
        <v>95</v>
      </c>
      <c r="L106" s="29" t="s">
        <v>44</v>
      </c>
      <c r="M106" s="29" t="s">
        <v>32</v>
      </c>
      <c r="N106" s="29"/>
      <c r="O106" s="29"/>
      <c r="P106" s="29"/>
      <c r="Q106" s="29"/>
      <c r="R106" s="29"/>
      <c r="S106" s="29"/>
      <c r="T106" s="29"/>
      <c r="U106" s="29"/>
      <c r="V106" s="29"/>
      <c r="W106" s="29"/>
      <c r="X106" s="29"/>
      <c r="Y106" s="29"/>
      <c r="Z106" s="29"/>
      <c r="AA106" s="29"/>
      <c r="AB106" s="29"/>
      <c r="AC106" s="29"/>
      <c r="AD106" s="29"/>
      <c r="AE106" s="29"/>
    </row>
    <row r="107" ht="22.5" customHeight="1">
      <c r="A107" s="29" t="s">
        <v>1200</v>
      </c>
      <c r="B107" s="29" t="s">
        <v>1201</v>
      </c>
      <c r="C107" s="30">
        <v>5.515991708381E12</v>
      </c>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row>
    <row r="108" ht="22.5" customHeight="1">
      <c r="A108" s="29" t="s">
        <v>1202</v>
      </c>
      <c r="B108" s="29" t="s">
        <v>368</v>
      </c>
      <c r="C108" s="30">
        <v>5.515991648072E12</v>
      </c>
      <c r="D108" s="29"/>
      <c r="E108" s="29"/>
      <c r="F108" s="29"/>
      <c r="G108" s="29"/>
      <c r="H108" s="29" t="s">
        <v>150</v>
      </c>
      <c r="I108" s="29" t="s">
        <v>31</v>
      </c>
      <c r="J108" s="29" t="s">
        <v>32</v>
      </c>
      <c r="K108" s="29" t="s">
        <v>936</v>
      </c>
      <c r="L108" s="29" t="s">
        <v>31</v>
      </c>
      <c r="M108" s="29" t="s">
        <v>32</v>
      </c>
      <c r="N108" s="29"/>
      <c r="O108" s="29"/>
      <c r="P108" s="29"/>
      <c r="Q108" s="29"/>
      <c r="R108" s="29"/>
      <c r="S108" s="29"/>
      <c r="T108" s="29"/>
      <c r="U108" s="29"/>
      <c r="V108" s="29"/>
      <c r="W108" s="29"/>
      <c r="X108" s="29"/>
      <c r="Y108" s="29"/>
      <c r="Z108" s="29"/>
      <c r="AA108" s="29"/>
      <c r="AB108" s="29"/>
      <c r="AC108" s="29"/>
      <c r="AD108" s="29"/>
      <c r="AE108" s="29"/>
    </row>
    <row r="109" ht="22.5" customHeight="1">
      <c r="A109" s="29" t="s">
        <v>1203</v>
      </c>
      <c r="B109" s="29" t="s">
        <v>1204</v>
      </c>
      <c r="C109" s="30">
        <v>5.515998085191E12</v>
      </c>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row>
    <row r="110" ht="22.5" customHeight="1">
      <c r="A110" s="29" t="s">
        <v>1205</v>
      </c>
      <c r="B110" s="29" t="s">
        <v>1206</v>
      </c>
      <c r="C110" s="30">
        <v>5.515981529769E12</v>
      </c>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row>
    <row r="111" ht="22.5" customHeight="1">
      <c r="A111" s="29" t="s">
        <v>1207</v>
      </c>
      <c r="B111" s="29" t="s">
        <v>1208</v>
      </c>
      <c r="C111" s="30">
        <v>5.515991766411E12</v>
      </c>
      <c r="D111" s="29"/>
      <c r="E111" s="29"/>
      <c r="F111" s="29"/>
      <c r="G111" s="29"/>
      <c r="H111" s="29" t="s">
        <v>108</v>
      </c>
      <c r="I111" s="29" t="s">
        <v>31</v>
      </c>
      <c r="J111" s="29" t="s">
        <v>32</v>
      </c>
      <c r="K111" s="29" t="s">
        <v>36</v>
      </c>
      <c r="L111" s="29" t="s">
        <v>31</v>
      </c>
      <c r="M111" s="29" t="s">
        <v>32</v>
      </c>
      <c r="N111" s="29"/>
      <c r="O111" s="29"/>
      <c r="P111" s="29"/>
      <c r="Q111" s="29"/>
      <c r="R111" s="29"/>
      <c r="S111" s="29"/>
      <c r="T111" s="29"/>
      <c r="U111" s="29"/>
      <c r="V111" s="29"/>
      <c r="W111" s="29"/>
      <c r="X111" s="29"/>
      <c r="Y111" s="29"/>
      <c r="Z111" s="29"/>
      <c r="AA111" s="29"/>
      <c r="AB111" s="29"/>
      <c r="AC111" s="29"/>
      <c r="AD111" s="29"/>
      <c r="AE111" s="29"/>
    </row>
    <row r="112" ht="22.5" customHeight="1">
      <c r="A112" s="29" t="s">
        <v>1209</v>
      </c>
      <c r="B112" s="29" t="s">
        <v>1210</v>
      </c>
      <c r="C112" s="30">
        <v>5.515996290333E12</v>
      </c>
      <c r="D112" s="29"/>
      <c r="E112" s="29"/>
      <c r="F112" s="29"/>
      <c r="G112" s="29"/>
      <c r="H112" s="29" t="s">
        <v>150</v>
      </c>
      <c r="I112" s="29" t="s">
        <v>31</v>
      </c>
      <c r="J112" s="29" t="s">
        <v>32</v>
      </c>
      <c r="K112" s="29" t="s">
        <v>367</v>
      </c>
      <c r="L112" s="29" t="s">
        <v>50</v>
      </c>
      <c r="M112" s="29" t="s">
        <v>32</v>
      </c>
      <c r="N112" s="29"/>
      <c r="O112" s="29"/>
      <c r="P112" s="29"/>
      <c r="Q112" s="29"/>
      <c r="R112" s="29"/>
      <c r="S112" s="29"/>
      <c r="T112" s="29"/>
      <c r="U112" s="29"/>
      <c r="V112" s="29"/>
      <c r="W112" s="29"/>
      <c r="X112" s="29"/>
      <c r="Y112" s="29"/>
      <c r="Z112" s="29"/>
      <c r="AA112" s="29"/>
      <c r="AB112" s="29"/>
      <c r="AC112" s="29"/>
      <c r="AD112" s="29"/>
      <c r="AE112" s="29"/>
    </row>
    <row r="113" ht="22.5" customHeight="1">
      <c r="A113" s="29" t="s">
        <v>1211</v>
      </c>
      <c r="B113" s="29" t="s">
        <v>1212</v>
      </c>
      <c r="C113" s="30">
        <v>5.515996262612E12</v>
      </c>
      <c r="D113" s="29"/>
      <c r="E113" s="29"/>
      <c r="F113" s="29"/>
      <c r="G113" s="29"/>
      <c r="H113" s="29" t="s">
        <v>150</v>
      </c>
      <c r="I113" s="29" t="s">
        <v>31</v>
      </c>
      <c r="J113" s="29" t="s">
        <v>32</v>
      </c>
      <c r="K113" s="29" t="s">
        <v>37</v>
      </c>
      <c r="L113" s="29" t="s">
        <v>1213</v>
      </c>
      <c r="M113" s="29" t="s">
        <v>56</v>
      </c>
      <c r="N113" s="29"/>
      <c r="O113" s="29"/>
      <c r="P113" s="29"/>
      <c r="Q113" s="29"/>
      <c r="R113" s="29"/>
      <c r="S113" s="29"/>
      <c r="T113" s="29"/>
      <c r="U113" s="29"/>
      <c r="V113" s="29"/>
      <c r="W113" s="29"/>
      <c r="X113" s="29"/>
      <c r="Y113" s="29"/>
      <c r="Z113" s="29"/>
      <c r="AA113" s="29"/>
      <c r="AB113" s="29"/>
      <c r="AC113" s="29"/>
      <c r="AD113" s="29"/>
      <c r="AE113" s="29"/>
    </row>
    <row r="114" ht="22.5" customHeight="1">
      <c r="A114" s="29" t="s">
        <v>1214</v>
      </c>
      <c r="B114" s="29" t="s">
        <v>1077</v>
      </c>
      <c r="C114" s="30">
        <v>5.51599130519E12</v>
      </c>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row>
    <row r="115" ht="22.5" customHeight="1">
      <c r="A115" s="29" t="s">
        <v>1215</v>
      </c>
      <c r="B115" s="29" t="s">
        <v>1216</v>
      </c>
      <c r="C115" s="30">
        <v>5.515988147456E12</v>
      </c>
      <c r="D115" s="29"/>
      <c r="E115" s="29"/>
      <c r="F115" s="29"/>
      <c r="G115" s="29"/>
      <c r="H115" s="29" t="s">
        <v>150</v>
      </c>
      <c r="I115" s="29" t="s">
        <v>31</v>
      </c>
      <c r="J115" s="29" t="s">
        <v>32</v>
      </c>
      <c r="K115" s="29" t="s">
        <v>37</v>
      </c>
      <c r="L115" s="29" t="s">
        <v>106</v>
      </c>
      <c r="M115" s="29" t="s">
        <v>56</v>
      </c>
      <c r="N115" s="29"/>
      <c r="O115" s="29"/>
      <c r="P115" s="29"/>
      <c r="Q115" s="29"/>
      <c r="R115" s="29"/>
      <c r="S115" s="29"/>
      <c r="T115" s="29"/>
      <c r="U115" s="29"/>
      <c r="V115" s="29"/>
      <c r="W115" s="29"/>
      <c r="X115" s="29"/>
      <c r="Y115" s="29"/>
      <c r="Z115" s="29"/>
      <c r="AA115" s="29"/>
      <c r="AB115" s="29"/>
      <c r="AC115" s="29"/>
      <c r="AD115" s="29"/>
      <c r="AE115" s="29"/>
    </row>
    <row r="116" ht="22.5" customHeight="1">
      <c r="A116" s="29" t="s">
        <v>1217</v>
      </c>
      <c r="B116" s="29" t="s">
        <v>1218</v>
      </c>
      <c r="C116" s="30">
        <v>5.51598168062E12</v>
      </c>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row>
    <row r="117" ht="22.5" customHeight="1">
      <c r="A117" s="29" t="s">
        <v>1219</v>
      </c>
      <c r="B117" s="29" t="s">
        <v>1220</v>
      </c>
      <c r="C117" s="30">
        <v>5.515996544402E12</v>
      </c>
      <c r="D117" s="29"/>
      <c r="E117" s="29"/>
      <c r="F117" s="29"/>
      <c r="G117" s="29"/>
      <c r="H117" s="29" t="s">
        <v>150</v>
      </c>
      <c r="I117" s="29" t="s">
        <v>31</v>
      </c>
      <c r="J117" s="29" t="s">
        <v>32</v>
      </c>
      <c r="K117" s="29" t="s">
        <v>36</v>
      </c>
      <c r="L117" s="29" t="s">
        <v>31</v>
      </c>
      <c r="M117" s="29" t="s">
        <v>32</v>
      </c>
      <c r="N117" s="29" t="s">
        <v>37</v>
      </c>
      <c r="O117" s="29" t="s">
        <v>104</v>
      </c>
      <c r="P117" s="29" t="s">
        <v>32</v>
      </c>
      <c r="Q117" s="29"/>
      <c r="R117" s="29"/>
      <c r="S117" s="29"/>
      <c r="T117" s="29"/>
      <c r="U117" s="29"/>
      <c r="V117" s="29"/>
      <c r="W117" s="29"/>
      <c r="X117" s="29"/>
      <c r="Y117" s="29"/>
      <c r="Z117" s="29"/>
      <c r="AA117" s="29"/>
      <c r="AB117" s="29"/>
      <c r="AC117" s="29"/>
      <c r="AD117" s="29"/>
      <c r="AE117" s="29"/>
    </row>
    <row r="118" ht="22.5" customHeight="1">
      <c r="A118" s="29" t="s">
        <v>1221</v>
      </c>
      <c r="B118" s="29" t="s">
        <v>1222</v>
      </c>
      <c r="C118" s="30">
        <v>5.515991933618E12</v>
      </c>
      <c r="D118" s="29"/>
      <c r="E118" s="29"/>
      <c r="F118" s="29"/>
      <c r="G118" s="29"/>
      <c r="H118" s="29" t="s">
        <v>150</v>
      </c>
      <c r="I118" s="29" t="s">
        <v>31</v>
      </c>
      <c r="J118" s="29" t="s">
        <v>32</v>
      </c>
      <c r="K118" s="29" t="s">
        <v>54</v>
      </c>
      <c r="L118" s="29" t="s">
        <v>778</v>
      </c>
      <c r="M118" s="29" t="s">
        <v>32</v>
      </c>
      <c r="N118" s="29" t="s">
        <v>36</v>
      </c>
      <c r="O118" s="29" t="s">
        <v>31</v>
      </c>
      <c r="P118" s="29" t="s">
        <v>32</v>
      </c>
      <c r="Q118" s="29"/>
      <c r="R118" s="29"/>
      <c r="S118" s="29"/>
      <c r="T118" s="29"/>
      <c r="U118" s="29"/>
      <c r="V118" s="29"/>
      <c r="W118" s="29"/>
      <c r="X118" s="29"/>
      <c r="Y118" s="29"/>
      <c r="Z118" s="29"/>
      <c r="AA118" s="29"/>
      <c r="AB118" s="29"/>
      <c r="AC118" s="29"/>
      <c r="AD118" s="29"/>
      <c r="AE118" s="29"/>
    </row>
    <row r="119" ht="22.5" customHeight="1">
      <c r="A119" s="29" t="s">
        <v>1223</v>
      </c>
      <c r="B119" s="29" t="s">
        <v>1224</v>
      </c>
      <c r="C119" s="30">
        <v>5.515996702431E12</v>
      </c>
      <c r="D119" s="29"/>
      <c r="E119" s="29"/>
      <c r="F119" s="29"/>
      <c r="G119" s="29"/>
      <c r="H119" s="29" t="s">
        <v>150</v>
      </c>
      <c r="I119" s="29" t="s">
        <v>31</v>
      </c>
      <c r="J119" s="29" t="s">
        <v>32</v>
      </c>
      <c r="K119" s="29" t="s">
        <v>37</v>
      </c>
      <c r="L119" s="29" t="s">
        <v>1225</v>
      </c>
      <c r="M119" s="29" t="s">
        <v>56</v>
      </c>
      <c r="N119" s="29"/>
      <c r="O119" s="29"/>
      <c r="P119" s="29"/>
      <c r="Q119" s="29"/>
      <c r="R119" s="29"/>
      <c r="S119" s="29"/>
      <c r="T119" s="29"/>
      <c r="U119" s="29"/>
      <c r="V119" s="29"/>
      <c r="W119" s="29"/>
      <c r="X119" s="29"/>
      <c r="Y119" s="29"/>
      <c r="Z119" s="29"/>
      <c r="AA119" s="29"/>
      <c r="AB119" s="29"/>
      <c r="AC119" s="29"/>
      <c r="AD119" s="29"/>
      <c r="AE119" s="29"/>
    </row>
    <row r="120" ht="22.5" customHeight="1">
      <c r="A120" s="29" t="s">
        <v>1226</v>
      </c>
      <c r="B120" s="29" t="s">
        <v>1227</v>
      </c>
      <c r="C120" s="30">
        <v>5.515998071539E12</v>
      </c>
      <c r="D120" s="29"/>
      <c r="E120" s="29"/>
      <c r="F120" s="29"/>
      <c r="G120" s="29"/>
      <c r="H120" s="29" t="s">
        <v>489</v>
      </c>
      <c r="I120" s="29" t="s">
        <v>34</v>
      </c>
      <c r="J120" s="29" t="s">
        <v>32</v>
      </c>
      <c r="K120" s="29"/>
      <c r="L120" s="29"/>
      <c r="M120" s="29"/>
      <c r="N120" s="29"/>
      <c r="O120" s="29"/>
      <c r="P120" s="29"/>
      <c r="Q120" s="29"/>
      <c r="R120" s="29"/>
      <c r="S120" s="29"/>
      <c r="T120" s="29"/>
      <c r="U120" s="29"/>
      <c r="V120" s="29"/>
      <c r="W120" s="29"/>
      <c r="X120" s="29"/>
      <c r="Y120" s="29"/>
      <c r="Z120" s="29"/>
      <c r="AA120" s="29"/>
      <c r="AB120" s="29"/>
      <c r="AC120" s="29"/>
      <c r="AD120" s="29"/>
      <c r="AE120" s="29"/>
    </row>
    <row r="121" ht="22.5" customHeight="1">
      <c r="A121" s="29" t="s">
        <v>1228</v>
      </c>
      <c r="B121" s="29" t="s">
        <v>1229</v>
      </c>
      <c r="C121" s="30">
        <v>5.515996497674E12</v>
      </c>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row>
    <row r="122" ht="22.5" customHeight="1">
      <c r="A122" s="29" t="s">
        <v>1230</v>
      </c>
      <c r="B122" s="29" t="s">
        <v>1231</v>
      </c>
      <c r="C122" s="30">
        <v>5.521964969134E12</v>
      </c>
      <c r="D122" s="29"/>
      <c r="E122" s="29"/>
      <c r="F122" s="29"/>
      <c r="G122" s="29"/>
      <c r="H122" s="29" t="s">
        <v>108</v>
      </c>
      <c r="I122" s="29" t="s">
        <v>31</v>
      </c>
      <c r="J122" s="29" t="s">
        <v>32</v>
      </c>
      <c r="K122" s="29"/>
      <c r="L122" s="29"/>
      <c r="M122" s="29"/>
      <c r="N122" s="29"/>
      <c r="O122" s="29"/>
      <c r="P122" s="29"/>
      <c r="Q122" s="29"/>
      <c r="R122" s="29"/>
      <c r="S122" s="29"/>
      <c r="T122" s="29"/>
      <c r="U122" s="29"/>
      <c r="V122" s="29"/>
      <c r="W122" s="29"/>
      <c r="X122" s="29"/>
      <c r="Y122" s="29"/>
      <c r="Z122" s="29"/>
      <c r="AA122" s="29"/>
      <c r="AB122" s="29"/>
      <c r="AC122" s="29"/>
      <c r="AD122" s="29"/>
      <c r="AE122" s="29"/>
    </row>
    <row r="123" ht="22.5" customHeight="1">
      <c r="A123" s="29" t="s">
        <v>1232</v>
      </c>
      <c r="B123" s="29" t="s">
        <v>1233</v>
      </c>
      <c r="C123" s="30">
        <v>5.515988349235E12</v>
      </c>
      <c r="D123" s="29"/>
      <c r="E123" s="29"/>
      <c r="F123" s="29"/>
      <c r="G123" s="29"/>
      <c r="H123" s="29" t="s">
        <v>150</v>
      </c>
      <c r="I123" s="29" t="s">
        <v>31</v>
      </c>
      <c r="J123" s="29" t="s">
        <v>32</v>
      </c>
      <c r="K123" s="29" t="s">
        <v>91</v>
      </c>
      <c r="L123" s="29" t="s">
        <v>63</v>
      </c>
      <c r="M123" s="29" t="s">
        <v>32</v>
      </c>
      <c r="N123" s="29"/>
      <c r="O123" s="29"/>
      <c r="P123" s="29"/>
      <c r="Q123" s="29"/>
      <c r="R123" s="29"/>
      <c r="S123" s="29"/>
      <c r="T123" s="29"/>
      <c r="U123" s="29"/>
      <c r="V123" s="29"/>
      <c r="W123" s="29"/>
      <c r="X123" s="29"/>
      <c r="Y123" s="29"/>
      <c r="Z123" s="29"/>
      <c r="AA123" s="29"/>
      <c r="AB123" s="29"/>
      <c r="AC123" s="29"/>
      <c r="AD123" s="29"/>
      <c r="AE123" s="29"/>
    </row>
    <row r="124" ht="22.5" customHeight="1">
      <c r="A124" s="29" t="s">
        <v>1234</v>
      </c>
      <c r="B124" s="29" t="s">
        <v>1235</v>
      </c>
      <c r="C124" s="30">
        <v>5.515991467824E12</v>
      </c>
      <c r="D124" s="29"/>
      <c r="E124" s="29"/>
      <c r="F124" s="29"/>
      <c r="G124" s="29"/>
      <c r="H124" s="29" t="s">
        <v>150</v>
      </c>
      <c r="I124" s="29" t="s">
        <v>31</v>
      </c>
      <c r="J124" s="29" t="s">
        <v>32</v>
      </c>
      <c r="K124" s="29" t="s">
        <v>91</v>
      </c>
      <c r="L124" s="29" t="s">
        <v>63</v>
      </c>
      <c r="M124" s="29" t="s">
        <v>32</v>
      </c>
      <c r="N124" s="29"/>
      <c r="O124" s="29"/>
      <c r="P124" s="29"/>
      <c r="Q124" s="29"/>
      <c r="R124" s="29"/>
      <c r="S124" s="29"/>
      <c r="T124" s="29"/>
      <c r="U124" s="29"/>
      <c r="V124" s="29"/>
      <c r="W124" s="29"/>
      <c r="X124" s="29"/>
      <c r="Y124" s="29"/>
      <c r="Z124" s="29"/>
      <c r="AA124" s="29"/>
      <c r="AB124" s="29"/>
      <c r="AC124" s="29"/>
      <c r="AD124" s="29"/>
      <c r="AE124" s="29"/>
    </row>
    <row r="125" ht="22.5" customHeight="1">
      <c r="A125" s="29" t="s">
        <v>1236</v>
      </c>
      <c r="B125" s="29" t="s">
        <v>1237</v>
      </c>
      <c r="C125" s="30">
        <v>5.515996071171E12</v>
      </c>
      <c r="D125" s="29"/>
      <c r="E125" s="29"/>
      <c r="F125" s="29"/>
      <c r="G125" s="29"/>
      <c r="H125" s="29" t="s">
        <v>150</v>
      </c>
      <c r="I125" s="29" t="s">
        <v>31</v>
      </c>
      <c r="J125" s="29" t="s">
        <v>32</v>
      </c>
      <c r="K125" s="29" t="s">
        <v>62</v>
      </c>
      <c r="L125" s="29" t="s">
        <v>431</v>
      </c>
      <c r="M125" s="29" t="s">
        <v>32</v>
      </c>
      <c r="N125" s="29"/>
      <c r="O125" s="29"/>
      <c r="P125" s="29"/>
      <c r="Q125" s="29"/>
      <c r="R125" s="29"/>
      <c r="S125" s="29"/>
      <c r="T125" s="29"/>
      <c r="U125" s="29"/>
      <c r="V125" s="29"/>
      <c r="W125" s="29"/>
      <c r="X125" s="29"/>
      <c r="Y125" s="29"/>
      <c r="Z125" s="29"/>
      <c r="AA125" s="29"/>
      <c r="AB125" s="29"/>
      <c r="AC125" s="29"/>
      <c r="AD125" s="29"/>
      <c r="AE125" s="29"/>
    </row>
    <row r="126" ht="22.5" customHeight="1">
      <c r="A126" s="29" t="s">
        <v>1238</v>
      </c>
      <c r="B126" s="29" t="s">
        <v>1239</v>
      </c>
      <c r="C126" s="30">
        <v>5.515981187188E12</v>
      </c>
      <c r="D126" s="29"/>
      <c r="E126" s="29"/>
      <c r="F126" s="29"/>
      <c r="G126" s="29"/>
      <c r="H126" s="29" t="s">
        <v>150</v>
      </c>
      <c r="I126" s="29" t="s">
        <v>31</v>
      </c>
      <c r="J126" s="29" t="s">
        <v>32</v>
      </c>
      <c r="K126" s="29" t="s">
        <v>62</v>
      </c>
      <c r="L126" s="29" t="s">
        <v>431</v>
      </c>
      <c r="M126" s="29" t="s">
        <v>32</v>
      </c>
      <c r="N126" s="29"/>
      <c r="O126" s="29"/>
      <c r="P126" s="29"/>
      <c r="Q126" s="29"/>
      <c r="R126" s="29"/>
      <c r="S126" s="29"/>
      <c r="T126" s="29"/>
      <c r="U126" s="29"/>
      <c r="V126" s="29"/>
      <c r="W126" s="29"/>
      <c r="X126" s="29"/>
      <c r="Y126" s="29"/>
      <c r="Z126" s="29"/>
      <c r="AA126" s="29"/>
      <c r="AB126" s="29"/>
      <c r="AC126" s="29"/>
      <c r="AD126" s="29"/>
      <c r="AE126" s="29"/>
    </row>
    <row r="127" ht="22.5" customHeight="1">
      <c r="A127" s="29" t="s">
        <v>1240</v>
      </c>
      <c r="B127" s="29" t="s">
        <v>1241</v>
      </c>
      <c r="C127" s="30">
        <v>5.515981255207E12</v>
      </c>
      <c r="D127" s="29"/>
      <c r="E127" s="29"/>
      <c r="F127" s="29"/>
      <c r="G127" s="29"/>
      <c r="H127" s="29" t="s">
        <v>150</v>
      </c>
      <c r="I127" s="29" t="s">
        <v>31</v>
      </c>
      <c r="J127" s="29" t="s">
        <v>32</v>
      </c>
      <c r="K127" s="29" t="s">
        <v>37</v>
      </c>
      <c r="L127" s="29" t="s">
        <v>104</v>
      </c>
      <c r="M127" s="29" t="s">
        <v>32</v>
      </c>
      <c r="N127" s="29"/>
      <c r="O127" s="29"/>
      <c r="P127" s="29"/>
      <c r="Q127" s="29"/>
      <c r="R127" s="29"/>
      <c r="S127" s="29"/>
      <c r="T127" s="29"/>
      <c r="U127" s="29"/>
      <c r="V127" s="29"/>
      <c r="W127" s="29"/>
      <c r="X127" s="29"/>
      <c r="Y127" s="29"/>
      <c r="Z127" s="29"/>
      <c r="AA127" s="29"/>
      <c r="AB127" s="29"/>
      <c r="AC127" s="29"/>
      <c r="AD127" s="29"/>
      <c r="AE127" s="29"/>
    </row>
    <row r="128" ht="22.5" customHeight="1">
      <c r="A128" s="29" t="s">
        <v>1242</v>
      </c>
      <c r="B128" s="29" t="s">
        <v>1243</v>
      </c>
      <c r="C128" s="30">
        <v>5.515996384742E12</v>
      </c>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row>
    <row r="129" ht="22.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row>
    <row r="130" ht="22.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row>
    <row r="131" ht="22.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row>
    <row r="132" ht="22.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row>
    <row r="133" ht="22.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row>
    <row r="134" ht="22.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row>
    <row r="135" ht="22.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row>
    <row r="136" ht="22.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row>
    <row r="137" ht="22.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row>
    <row r="138" ht="22.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row>
    <row r="139" ht="22.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row>
    <row r="140" ht="22.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row>
    <row r="141" ht="22.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row>
    <row r="142" ht="22.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row>
    <row r="143" ht="22.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row>
    <row r="144" ht="22.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row>
    <row r="145" ht="22.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row>
    <row r="146" ht="22.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row>
    <row r="147" ht="22.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row>
    <row r="148" ht="22.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row>
    <row r="149" ht="22.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row>
    <row r="150" ht="22.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row>
    <row r="151" ht="22.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row>
    <row r="152" ht="22.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row>
    <row r="153" ht="22.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row>
    <row r="154" ht="22.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row>
    <row r="155" ht="22.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row>
    <row r="156" ht="22.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row>
    <row r="157" ht="22.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row>
    <row r="158" ht="22.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row>
    <row r="159" ht="22.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row>
    <row r="160" ht="22.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row>
    <row r="161" ht="22.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row>
    <row r="162" ht="22.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row>
    <row r="163" ht="22.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row>
    <row r="164" ht="22.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row>
    <row r="165" ht="22.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row>
    <row r="166" ht="22.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row>
    <row r="167" ht="22.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row>
    <row r="168" ht="22.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row>
    <row r="169" ht="22.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row>
    <row r="170" ht="22.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row>
    <row r="171" ht="22.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row>
    <row r="172" ht="22.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row>
    <row r="173" ht="22.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row>
    <row r="174" ht="22.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row>
    <row r="175" ht="22.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row>
    <row r="176" ht="22.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row>
    <row r="177" ht="22.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row>
    <row r="178" ht="22.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row>
    <row r="179" ht="22.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row>
    <row r="180" ht="22.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row>
    <row r="181" ht="22.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row>
    <row r="182" ht="22.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row>
    <row r="183" ht="22.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row>
    <row r="184" ht="22.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row>
    <row r="185" ht="22.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row>
    <row r="186" ht="22.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row>
    <row r="187" ht="22.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row>
    <row r="188" ht="22.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row>
    <row r="189" ht="22.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row>
    <row r="190" ht="22.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row>
    <row r="191" ht="22.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row>
    <row r="192" ht="22.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row>
    <row r="193" ht="22.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row>
    <row r="194" ht="22.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row>
    <row r="195" ht="22.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row>
    <row r="196" ht="22.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row>
    <row r="197" ht="22.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row>
    <row r="198" ht="22.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row>
    <row r="199" ht="22.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row>
    <row r="200" ht="22.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row>
    <row r="201" ht="22.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row>
    <row r="202" ht="22.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row>
    <row r="203" ht="22.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row>
    <row r="204" ht="22.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row>
    <row r="205" ht="22.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row>
    <row r="206" ht="22.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row>
    <row r="207" ht="22.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row>
    <row r="208" ht="22.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row>
    <row r="209" ht="22.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row>
    <row r="210" ht="22.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row>
    <row r="211" ht="22.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row>
    <row r="212" ht="22.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row>
    <row r="213" ht="22.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row>
    <row r="214" ht="22.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row>
    <row r="215" ht="22.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row>
    <row r="216" ht="22.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row>
    <row r="217" ht="22.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row>
    <row r="218" ht="22.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row>
    <row r="219" ht="22.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row>
    <row r="220" ht="22.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row>
    <row r="221" ht="22.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row>
    <row r="222" ht="22.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row>
    <row r="223" ht="22.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row>
    <row r="224" ht="22.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row>
    <row r="225" ht="22.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row>
    <row r="226" ht="22.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row>
    <row r="227" ht="22.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row>
    <row r="228" ht="22.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row>
    <row r="229" ht="22.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row>
    <row r="230" ht="22.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row>
    <row r="231" ht="22.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row>
    <row r="232" ht="22.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row>
    <row r="233" ht="22.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row>
    <row r="234" ht="22.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row>
    <row r="235" ht="22.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row>
    <row r="236" ht="22.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row>
    <row r="237" ht="22.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row>
    <row r="238" ht="22.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row>
    <row r="239" ht="22.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row>
    <row r="240" ht="22.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row>
    <row r="241" ht="22.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row>
    <row r="242" ht="22.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row>
    <row r="243" ht="22.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row>
    <row r="244" ht="22.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row>
    <row r="245" ht="22.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row>
    <row r="246" ht="22.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row>
    <row r="247" ht="22.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row>
    <row r="248" ht="22.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row>
    <row r="249" ht="22.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row>
    <row r="250" ht="22.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row>
    <row r="251" ht="22.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row>
    <row r="252" ht="22.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row>
    <row r="253" ht="22.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row>
    <row r="254" ht="22.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row>
    <row r="255" ht="22.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row>
    <row r="256" ht="22.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row>
    <row r="257" ht="22.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row>
    <row r="258" ht="22.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row>
    <row r="259" ht="22.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row>
    <row r="260" ht="22.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row>
    <row r="261" ht="22.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row>
    <row r="262" ht="22.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row>
    <row r="263" ht="22.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row>
    <row r="264" ht="22.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row>
    <row r="265" ht="22.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row>
    <row r="266" ht="22.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row>
    <row r="267" ht="22.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row>
    <row r="268" ht="22.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row>
    <row r="269" ht="22.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row>
    <row r="270" ht="22.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row>
    <row r="271" ht="22.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row>
    <row r="272" ht="22.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row>
    <row r="273" ht="22.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row>
    <row r="274" ht="22.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row>
    <row r="275" ht="22.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row>
    <row r="276" ht="22.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row>
    <row r="277" ht="22.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row>
    <row r="278" ht="22.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row>
    <row r="279" ht="22.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row>
    <row r="280" ht="22.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row>
    <row r="281" ht="22.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row>
    <row r="282" ht="22.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row>
    <row r="283" ht="22.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row>
    <row r="284" ht="22.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row>
    <row r="285" ht="22.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row>
    <row r="286" ht="22.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row>
    <row r="287" ht="22.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row>
    <row r="288" ht="22.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row>
    <row r="289" ht="22.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row>
    <row r="290" ht="22.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row>
    <row r="291" ht="22.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row>
    <row r="292" ht="22.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row>
    <row r="293" ht="22.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row>
    <row r="294" ht="22.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row>
    <row r="295" ht="22.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row>
    <row r="296" ht="22.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row>
    <row r="297" ht="22.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row>
    <row r="298" ht="22.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row>
    <row r="299" ht="22.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row>
    <row r="300" ht="22.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row>
    <row r="301" ht="22.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row>
    <row r="302" ht="22.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row>
    <row r="303" ht="22.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row>
    <row r="304" ht="22.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row>
    <row r="305" ht="22.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row>
    <row r="306" ht="22.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row>
    <row r="307" ht="22.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row>
    <row r="308" ht="22.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row>
    <row r="309" ht="22.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row>
    <row r="310" ht="22.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row>
    <row r="311" ht="22.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row>
    <row r="312" ht="22.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row>
    <row r="313" ht="22.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row>
    <row r="314" ht="22.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row>
    <row r="315" ht="22.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row>
    <row r="316" ht="22.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row>
    <row r="317" ht="22.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row>
    <row r="318" ht="22.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row>
    <row r="319" ht="22.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row>
    <row r="320" ht="22.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row>
    <row r="321" ht="22.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row>
    <row r="322" ht="22.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row>
    <row r="323" ht="22.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row>
    <row r="324" ht="22.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row>
    <row r="325" ht="22.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row>
    <row r="326" ht="22.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row>
    <row r="327" ht="22.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row>
    <row r="328" ht="22.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row>
    <row r="329" ht="22.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row>
    <row r="330" ht="22.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row>
    <row r="331" ht="22.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row>
    <row r="332" ht="22.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row>
    <row r="333" ht="22.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row>
    <row r="334" ht="22.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row>
    <row r="335" ht="22.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row>
    <row r="336" ht="22.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row>
    <row r="337" ht="22.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row>
    <row r="338" ht="22.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row>
    <row r="339" ht="22.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row>
    <row r="340" ht="22.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row>
    <row r="341" ht="22.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row>
    <row r="342" ht="22.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row>
    <row r="343" ht="22.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row>
    <row r="344" ht="22.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row>
    <row r="345" ht="22.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row>
    <row r="346" ht="22.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row>
    <row r="347" ht="22.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row>
    <row r="348" ht="22.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row>
    <row r="349" ht="22.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row>
    <row r="350" ht="22.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row>
    <row r="351" ht="22.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row>
    <row r="352" ht="22.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row>
    <row r="353" ht="22.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row>
    <row r="354" ht="22.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row>
    <row r="355" ht="22.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row>
    <row r="356" ht="22.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row>
    <row r="357" ht="22.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row>
    <row r="358" ht="22.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row>
    <row r="359" ht="22.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row>
    <row r="360" ht="22.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row>
    <row r="361" ht="22.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row>
    <row r="362" ht="22.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row>
    <row r="363" ht="22.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row>
    <row r="364" ht="22.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row>
    <row r="365" ht="22.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row>
    <row r="366" ht="22.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row>
    <row r="367" ht="22.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row>
    <row r="368" ht="22.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row>
    <row r="369" ht="22.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row>
    <row r="370" ht="22.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row>
    <row r="371" ht="22.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row>
    <row r="372" ht="22.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row>
    <row r="373" ht="22.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row>
    <row r="374" ht="22.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row>
    <row r="375" ht="22.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row>
    <row r="376" ht="22.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row>
    <row r="377" ht="22.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row>
    <row r="378" ht="22.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row>
    <row r="379" ht="22.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row>
    <row r="380" ht="22.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row>
    <row r="381" ht="22.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row>
    <row r="382" ht="22.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row>
    <row r="383" ht="22.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row>
    <row r="384" ht="22.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row>
    <row r="385" ht="22.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row>
    <row r="386" ht="22.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row>
    <row r="387" ht="22.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row>
    <row r="388" ht="22.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row>
    <row r="389" ht="22.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row>
    <row r="390" ht="22.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row>
    <row r="391" ht="22.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row>
    <row r="392" ht="22.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row>
    <row r="393" ht="22.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row>
    <row r="394" ht="22.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row>
    <row r="395" ht="22.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row>
    <row r="396" ht="22.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row>
    <row r="397" ht="22.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row>
    <row r="398" ht="22.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row>
    <row r="399" ht="22.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row>
    <row r="400" ht="22.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row>
    <row r="401" ht="22.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row>
    <row r="402" ht="22.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row>
    <row r="403" ht="22.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row>
    <row r="404" ht="22.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row>
    <row r="405" ht="22.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row>
    <row r="406" ht="22.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row>
    <row r="407" ht="22.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row>
    <row r="408" ht="22.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row>
    <row r="409" ht="22.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row>
    <row r="410" ht="22.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row>
    <row r="411" ht="22.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row>
    <row r="412" ht="22.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row>
    <row r="413" ht="22.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row>
    <row r="414" ht="22.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row>
    <row r="415" ht="22.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row>
    <row r="416" ht="22.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row>
    <row r="417" ht="22.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row>
    <row r="418" ht="22.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row>
    <row r="419" ht="22.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row>
    <row r="420" ht="22.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row>
    <row r="421" ht="22.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row>
    <row r="422" ht="22.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row>
    <row r="423" ht="22.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row>
    <row r="424" ht="22.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row>
    <row r="425" ht="22.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row>
    <row r="426" ht="22.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row>
    <row r="427" ht="22.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row>
    <row r="428" ht="22.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row>
    <row r="429" ht="22.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row>
    <row r="430" ht="22.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row>
    <row r="431" ht="22.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row>
    <row r="432" ht="22.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row>
    <row r="433" ht="22.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row>
    <row r="434" ht="22.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row>
    <row r="435" ht="22.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row>
    <row r="436" ht="22.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row>
    <row r="437" ht="22.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row>
    <row r="438" ht="22.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row>
    <row r="439" ht="22.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row>
    <row r="440" ht="22.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row>
    <row r="441" ht="22.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row>
    <row r="442" ht="22.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row>
    <row r="443" ht="22.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row>
    <row r="444" ht="22.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row>
    <row r="445" ht="22.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row>
    <row r="446" ht="22.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row>
    <row r="447" ht="22.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row>
    <row r="448" ht="22.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row>
    <row r="449" ht="22.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row>
    <row r="450" ht="22.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row>
    <row r="451" ht="22.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row>
    <row r="452" ht="22.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row>
    <row r="453" ht="22.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row>
    <row r="454" ht="22.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row>
    <row r="455" ht="22.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row>
    <row r="456" ht="22.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row>
    <row r="457" ht="22.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row>
    <row r="458" ht="22.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row>
    <row r="459" ht="22.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row>
    <row r="460" ht="22.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row>
    <row r="461" ht="22.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row>
    <row r="462" ht="22.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row>
    <row r="463" ht="22.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row>
    <row r="464" ht="22.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row>
    <row r="465" ht="22.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row>
    <row r="466" ht="22.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row>
    <row r="467" ht="22.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row>
    <row r="468" ht="22.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row>
    <row r="469" ht="22.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row>
    <row r="470" ht="22.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row>
    <row r="471" ht="22.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row>
    <row r="472" ht="22.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row>
    <row r="473" ht="22.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row>
    <row r="474" ht="22.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row>
    <row r="475" ht="22.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row>
    <row r="476" ht="22.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row>
    <row r="477" ht="22.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row>
    <row r="478" ht="22.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row>
    <row r="479" ht="22.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row>
    <row r="480" ht="22.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row>
    <row r="481" ht="22.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row>
    <row r="482" ht="22.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row>
    <row r="483" ht="22.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row>
    <row r="484" ht="22.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row>
    <row r="485" ht="22.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row>
    <row r="486" ht="22.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row>
    <row r="487" ht="22.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row>
    <row r="488" ht="22.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row>
    <row r="489" ht="22.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row>
    <row r="490" ht="22.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row>
    <row r="491" ht="22.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row>
    <row r="492" ht="22.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row>
    <row r="493" ht="22.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row>
    <row r="494" ht="22.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row>
    <row r="495" ht="22.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row>
    <row r="496" ht="22.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row>
    <row r="497" ht="22.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row>
    <row r="498" ht="22.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row>
    <row r="499" ht="22.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row>
    <row r="500" ht="22.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29"/>
    </row>
    <row r="501" ht="22.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row>
    <row r="502" ht="22.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row>
    <row r="503" ht="22.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row>
    <row r="504" ht="22.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row>
    <row r="505" ht="22.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row>
    <row r="506" ht="22.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row>
    <row r="507" ht="22.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row>
    <row r="508" ht="22.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row>
    <row r="509" ht="22.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row>
    <row r="510" ht="22.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row>
    <row r="511" ht="22.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row>
    <row r="512" ht="22.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row>
    <row r="513" ht="22.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row>
    <row r="514" ht="22.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row>
    <row r="515" ht="22.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row>
    <row r="516" ht="22.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row>
    <row r="517" ht="22.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row>
    <row r="518" ht="22.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row>
    <row r="519" ht="22.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row>
    <row r="520" ht="22.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row>
    <row r="521" ht="22.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row>
    <row r="522" ht="22.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row>
    <row r="523" ht="22.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row>
    <row r="524" ht="22.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row>
    <row r="525" ht="22.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row>
    <row r="526" ht="22.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row>
    <row r="527" ht="22.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row>
    <row r="528" ht="22.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row>
    <row r="529" ht="22.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row>
    <row r="530" ht="22.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row>
    <row r="531" ht="22.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row>
    <row r="532" ht="22.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row>
    <row r="533" ht="22.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row>
    <row r="534" ht="22.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row>
    <row r="535" ht="22.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row>
    <row r="536" ht="22.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row>
    <row r="537" ht="22.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row>
    <row r="538" ht="22.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row>
    <row r="539" ht="22.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row>
    <row r="540" ht="22.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row>
    <row r="541" ht="22.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row>
    <row r="542" ht="22.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row>
    <row r="543" ht="22.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row>
    <row r="544" ht="22.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row>
    <row r="545" ht="22.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row>
    <row r="546" ht="22.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row>
    <row r="547" ht="22.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row>
    <row r="548" ht="22.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row>
    <row r="549" ht="22.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row>
    <row r="550" ht="22.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row>
    <row r="551" ht="22.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row>
    <row r="552" ht="22.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row>
    <row r="553" ht="22.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row>
    <row r="554" ht="22.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row>
    <row r="555" ht="22.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row>
    <row r="556" ht="22.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row>
    <row r="557" ht="22.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row>
    <row r="558" ht="22.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row>
    <row r="559" ht="22.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row>
    <row r="560" ht="22.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row>
    <row r="561" ht="22.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row>
    <row r="562" ht="22.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row>
    <row r="563" ht="22.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row>
    <row r="564" ht="22.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row>
    <row r="565" ht="22.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row>
    <row r="566" ht="22.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row>
    <row r="567" ht="22.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row>
    <row r="568" ht="22.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row>
    <row r="569" ht="22.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row>
    <row r="570" ht="22.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row>
    <row r="571" ht="22.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row>
    <row r="572" ht="22.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row>
    <row r="573" ht="22.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row>
    <row r="574" ht="22.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row>
    <row r="575" ht="22.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row>
    <row r="576" ht="22.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row>
    <row r="577" ht="22.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row>
    <row r="578" ht="22.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row>
    <row r="579" ht="22.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row>
    <row r="580" ht="22.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row>
    <row r="581" ht="22.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row>
    <row r="582" ht="22.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row>
    <row r="583" ht="22.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row>
    <row r="584" ht="22.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row>
    <row r="585" ht="22.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row>
    <row r="586" ht="22.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row>
    <row r="587" ht="22.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row>
    <row r="588" ht="22.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29"/>
    </row>
    <row r="589" ht="22.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row>
    <row r="590" ht="22.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row>
    <row r="591" ht="22.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row>
    <row r="592" ht="22.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row>
    <row r="593" ht="22.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row>
    <row r="594" ht="22.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row>
    <row r="595" ht="22.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row>
    <row r="596" ht="22.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row>
    <row r="597" ht="22.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row>
    <row r="598" ht="22.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row>
    <row r="599" ht="22.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row>
    <row r="600" ht="22.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row>
    <row r="601" ht="22.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row>
    <row r="602" ht="22.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row>
    <row r="603" ht="22.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row>
    <row r="604" ht="22.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row>
    <row r="605" ht="22.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row>
    <row r="606" ht="22.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row>
    <row r="607" ht="22.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row>
    <row r="608" ht="22.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row>
    <row r="609" ht="22.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row>
    <row r="610" ht="22.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row>
    <row r="611" ht="22.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row>
    <row r="612" ht="22.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row>
    <row r="613" ht="22.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row>
    <row r="614" ht="22.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row>
    <row r="615" ht="22.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row>
    <row r="616" ht="22.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row>
    <row r="617" ht="22.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row>
    <row r="618" ht="22.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row>
    <row r="619" ht="22.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row>
    <row r="620" ht="22.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row>
    <row r="621" ht="22.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row>
    <row r="622" ht="22.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row>
    <row r="623" ht="22.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row>
    <row r="624" ht="22.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row>
    <row r="625" ht="22.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row>
    <row r="626" ht="22.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row>
    <row r="627" ht="22.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row>
    <row r="628" ht="22.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row>
    <row r="629" ht="22.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row>
    <row r="630" ht="22.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row>
    <row r="631" ht="22.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row>
    <row r="632" ht="22.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row>
    <row r="633" ht="22.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row>
    <row r="634" ht="22.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row>
    <row r="635" ht="22.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row>
    <row r="636" ht="22.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row>
    <row r="637" ht="22.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row>
    <row r="638" ht="22.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row>
    <row r="639" ht="22.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row>
    <row r="640" ht="22.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row>
    <row r="641" ht="22.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row>
    <row r="642" ht="22.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row>
    <row r="643" ht="22.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row>
    <row r="644" ht="22.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row>
    <row r="645" ht="22.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row>
    <row r="646" ht="22.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row>
    <row r="647" ht="22.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row>
    <row r="648" ht="22.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row>
    <row r="649" ht="22.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row>
    <row r="650" ht="22.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row>
    <row r="651" ht="22.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row>
    <row r="652" ht="22.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row>
    <row r="653" ht="22.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row>
    <row r="654" ht="22.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row>
    <row r="655" ht="22.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row>
    <row r="656" ht="22.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row>
    <row r="657" ht="22.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row>
    <row r="658" ht="22.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row>
    <row r="659" ht="22.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row>
    <row r="660" ht="22.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row>
    <row r="661" ht="22.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row>
    <row r="662" ht="22.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row>
    <row r="663" ht="22.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row>
    <row r="664" ht="22.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row>
    <row r="665" ht="22.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row>
    <row r="666" ht="22.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row>
    <row r="667" ht="22.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row>
    <row r="668" ht="22.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row>
    <row r="669" ht="22.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row>
    <row r="670" ht="22.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row>
    <row r="671" ht="22.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row>
    <row r="672" ht="22.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row>
    <row r="673" ht="22.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row>
    <row r="674" ht="22.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row>
    <row r="675" ht="22.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row>
    <row r="676" ht="22.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row>
    <row r="677" ht="22.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row>
    <row r="678" ht="22.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row>
    <row r="679" ht="22.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row>
    <row r="680" ht="22.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row>
    <row r="681" ht="22.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row>
    <row r="682" ht="22.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row>
    <row r="683" ht="22.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row>
    <row r="684" ht="22.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row>
    <row r="685" ht="22.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row>
    <row r="686" ht="22.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row>
    <row r="687" ht="22.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row>
    <row r="688" ht="22.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row>
    <row r="689" ht="22.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row>
    <row r="690" ht="22.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row>
    <row r="691" ht="22.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row>
    <row r="692" ht="22.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row>
    <row r="693" ht="22.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row>
    <row r="694" ht="22.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row>
    <row r="695" ht="22.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row>
    <row r="696" ht="22.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row>
    <row r="697" ht="22.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row>
    <row r="698" ht="22.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row>
    <row r="699" ht="22.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row>
    <row r="700" ht="22.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row>
    <row r="701" ht="22.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row>
    <row r="702" ht="22.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row>
    <row r="703" ht="22.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row>
    <row r="704" ht="22.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row>
    <row r="705" ht="22.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row>
    <row r="706" ht="22.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row>
    <row r="707" ht="22.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row>
    <row r="708" ht="22.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row>
    <row r="709" ht="22.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row>
    <row r="710" ht="22.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row>
    <row r="711" ht="22.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row>
    <row r="712" ht="22.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row>
    <row r="713" ht="22.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row>
    <row r="714" ht="22.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row>
    <row r="715" ht="22.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row>
    <row r="716" ht="22.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row>
    <row r="717" ht="22.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row>
    <row r="718" ht="22.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row>
    <row r="719" ht="22.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row>
    <row r="720" ht="22.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row>
    <row r="721" ht="22.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row>
    <row r="722" ht="22.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row>
    <row r="723" ht="22.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row>
    <row r="724" ht="22.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row>
    <row r="725" ht="22.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row>
    <row r="726" ht="22.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row>
    <row r="727" ht="22.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row>
    <row r="728" ht="22.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row>
    <row r="729" ht="22.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row>
    <row r="730" ht="22.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row>
    <row r="731" ht="22.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row>
    <row r="732" ht="22.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row>
    <row r="733" ht="22.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row>
    <row r="734" ht="22.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row>
    <row r="735" ht="22.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row>
    <row r="736" ht="22.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row>
    <row r="737" ht="22.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row>
    <row r="738" ht="22.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row>
    <row r="739" ht="22.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row>
    <row r="740" ht="22.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row>
    <row r="741" ht="22.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row>
    <row r="742" ht="22.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row>
    <row r="743" ht="22.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row>
    <row r="744" ht="22.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row>
    <row r="745" ht="22.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row>
    <row r="746" ht="22.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row>
    <row r="747" ht="22.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row>
    <row r="748" ht="22.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row>
    <row r="749" ht="22.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row>
    <row r="750" ht="22.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row>
    <row r="751" ht="22.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row>
    <row r="752" ht="22.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row>
    <row r="753" ht="22.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row>
    <row r="754" ht="22.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row>
    <row r="755" ht="22.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row>
    <row r="756" ht="22.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row>
    <row r="757" ht="22.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row>
    <row r="758" ht="22.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row>
    <row r="759" ht="22.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row>
    <row r="760" ht="22.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row>
    <row r="761" ht="22.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row>
    <row r="762" ht="22.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row>
    <row r="763" ht="22.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row>
    <row r="764" ht="22.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row>
    <row r="765" ht="22.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row>
    <row r="766" ht="22.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row>
    <row r="767" ht="22.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row>
    <row r="768" ht="22.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row>
    <row r="769" ht="22.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row>
    <row r="770" ht="22.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row>
    <row r="771" ht="22.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row>
    <row r="772" ht="22.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row>
    <row r="773" ht="22.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row>
    <row r="774" ht="22.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row>
    <row r="775" ht="22.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row>
    <row r="776" ht="22.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row>
    <row r="777" ht="22.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row>
    <row r="778" ht="22.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row>
    <row r="779" ht="22.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row>
    <row r="780" ht="22.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row>
    <row r="781" ht="22.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row>
    <row r="782" ht="22.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29"/>
    </row>
    <row r="783" ht="22.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row>
    <row r="784" ht="22.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row>
    <row r="785" ht="22.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row>
    <row r="786" ht="22.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row>
    <row r="787" ht="22.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row>
    <row r="788" ht="22.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row>
    <row r="789" ht="22.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row>
    <row r="790" ht="22.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row>
    <row r="791" ht="22.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row>
    <row r="792" ht="22.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row>
    <row r="793" ht="22.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row>
    <row r="794" ht="22.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row>
    <row r="795" ht="22.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row>
    <row r="796" ht="22.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row>
    <row r="797" ht="22.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row>
    <row r="798" ht="22.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row>
    <row r="799" ht="22.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row>
    <row r="800" ht="22.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row>
    <row r="801" ht="22.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row>
    <row r="802" ht="22.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row>
    <row r="803" ht="22.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row>
    <row r="804" ht="22.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row>
    <row r="805" ht="22.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row>
    <row r="806" ht="22.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row>
    <row r="807" ht="22.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row>
    <row r="808" ht="22.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row>
    <row r="809" ht="22.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row>
    <row r="810" ht="22.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row>
    <row r="811" ht="22.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row>
    <row r="812" ht="22.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row>
    <row r="813" ht="22.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row>
    <row r="814" ht="22.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row>
    <row r="815" ht="22.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row>
    <row r="816" ht="22.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row>
    <row r="817" ht="22.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row>
    <row r="818" ht="22.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29"/>
    </row>
    <row r="819" ht="22.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row>
    <row r="820" ht="22.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29"/>
    </row>
    <row r="821" ht="22.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row>
    <row r="822" ht="22.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29"/>
    </row>
    <row r="823" ht="22.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row>
    <row r="824" ht="22.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29"/>
    </row>
    <row r="825" ht="22.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row>
    <row r="826" ht="22.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29"/>
    </row>
    <row r="827" ht="22.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row>
    <row r="828" ht="22.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row>
    <row r="829" ht="22.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row>
    <row r="830" ht="22.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row>
    <row r="831" ht="22.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row>
    <row r="832" ht="22.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row>
    <row r="833" ht="22.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row>
    <row r="834" ht="22.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row>
    <row r="835" ht="22.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row>
    <row r="836" ht="22.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row>
    <row r="837" ht="22.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row>
    <row r="838" ht="22.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row>
    <row r="839" ht="22.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row>
    <row r="840" ht="22.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29"/>
    </row>
    <row r="841" ht="22.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row>
    <row r="842" ht="22.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29"/>
    </row>
    <row r="843" ht="22.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row>
    <row r="844" ht="22.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row>
    <row r="845" ht="22.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row>
    <row r="846" ht="22.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row>
    <row r="847" ht="22.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row>
    <row r="848" ht="22.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row>
    <row r="849" ht="22.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row>
    <row r="850" ht="22.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29"/>
    </row>
    <row r="851" ht="22.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row>
    <row r="852" ht="22.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row>
    <row r="853" ht="22.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row>
    <row r="854" ht="22.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row>
    <row r="855" ht="22.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row>
    <row r="856" ht="22.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row>
    <row r="857" ht="22.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row>
    <row r="858" ht="22.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row>
    <row r="859" ht="22.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row>
    <row r="860" ht="22.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29"/>
    </row>
    <row r="861" ht="22.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row>
    <row r="862" ht="22.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row>
    <row r="863" ht="22.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row>
    <row r="864" ht="22.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row>
    <row r="865" ht="22.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row>
    <row r="866" ht="22.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row>
    <row r="867" ht="22.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row>
    <row r="868" ht="22.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row>
    <row r="869" ht="22.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row>
    <row r="870" ht="22.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row>
    <row r="871" ht="22.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row>
    <row r="872" ht="22.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row>
    <row r="873" ht="22.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row>
    <row r="874" ht="22.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row>
    <row r="875" ht="22.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row>
    <row r="876" ht="22.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row>
    <row r="877" ht="22.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row>
    <row r="878" ht="22.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row>
    <row r="879" ht="22.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row>
    <row r="880" ht="22.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row>
    <row r="881" ht="22.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row>
    <row r="882" ht="22.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row>
    <row r="883" ht="22.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row>
    <row r="884" ht="22.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row>
    <row r="885" ht="22.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row>
    <row r="886" ht="22.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row>
    <row r="887" ht="22.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row>
    <row r="888" ht="22.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row>
    <row r="889" ht="22.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row>
    <row r="890" ht="22.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row>
    <row r="891" ht="22.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row>
    <row r="892" ht="22.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row>
    <row r="893" ht="22.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row>
    <row r="894" ht="22.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row>
    <row r="895" ht="22.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row>
    <row r="896" ht="22.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row>
    <row r="897" ht="22.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row>
    <row r="898" ht="22.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row>
    <row r="899" ht="22.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row>
    <row r="900" ht="22.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row>
    <row r="901" ht="22.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row>
    <row r="902" ht="22.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row>
    <row r="903" ht="22.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row>
    <row r="904" ht="22.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row>
    <row r="905" ht="22.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row>
    <row r="906" ht="22.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row>
    <row r="907" ht="22.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row>
    <row r="908" ht="22.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row>
    <row r="909" ht="22.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row>
    <row r="910" ht="22.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row>
    <row r="911" ht="22.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row>
    <row r="912" ht="22.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row>
    <row r="913" ht="22.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row>
    <row r="914" ht="22.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row>
    <row r="915" ht="22.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row>
    <row r="916" ht="22.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row>
    <row r="917" ht="22.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row>
    <row r="918" ht="22.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row>
    <row r="919" ht="22.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row>
    <row r="920" ht="22.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row>
    <row r="921" ht="22.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row>
    <row r="922" ht="22.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row>
    <row r="923" ht="22.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row>
    <row r="924" ht="22.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row>
    <row r="925" ht="22.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row>
    <row r="926" ht="22.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row>
    <row r="927" ht="22.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row>
    <row r="928" ht="22.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row>
    <row r="929" ht="22.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row>
    <row r="930" ht="22.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row>
    <row r="931" ht="22.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row>
    <row r="932" ht="22.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row>
    <row r="933" ht="22.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row>
    <row r="934" ht="22.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row>
    <row r="935" ht="22.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row>
    <row r="936" ht="22.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row>
    <row r="937" ht="22.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row>
    <row r="938" ht="22.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row>
    <row r="939" ht="22.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row>
    <row r="940" ht="22.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row>
    <row r="941" ht="22.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row>
    <row r="942" ht="22.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row>
    <row r="943" ht="22.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row>
    <row r="944" ht="22.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row>
    <row r="945" ht="22.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row>
    <row r="946" ht="22.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row>
    <row r="947" ht="22.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row>
    <row r="948" ht="22.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row>
    <row r="949" ht="22.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row>
    <row r="950" ht="22.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row>
    <row r="951" ht="22.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row>
    <row r="952" ht="22.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row>
    <row r="953" ht="22.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row>
    <row r="954" ht="22.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row>
    <row r="955" ht="22.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row>
    <row r="956" ht="22.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row>
    <row r="957" ht="22.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row>
    <row r="958" ht="22.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row>
    <row r="959" ht="22.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row>
    <row r="960" ht="22.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row>
    <row r="961" ht="22.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row>
    <row r="962" ht="22.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row>
    <row r="963" ht="22.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row>
    <row r="964" ht="22.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row>
    <row r="965" ht="22.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row>
    <row r="966" ht="22.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row>
    <row r="967" ht="22.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row>
    <row r="968" ht="22.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row>
    <row r="969" ht="22.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row>
    <row r="970" ht="22.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row>
    <row r="971" ht="22.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row>
    <row r="972" ht="22.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row>
    <row r="973" ht="22.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row>
    <row r="974" ht="22.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row>
    <row r="975" ht="22.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row>
    <row r="976" ht="22.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row>
    <row r="977" ht="22.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row>
    <row r="978" ht="22.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row>
    <row r="979" ht="22.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row>
    <row r="980" ht="22.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row>
    <row r="981" ht="22.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row>
    <row r="982" ht="22.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row>
    <row r="983" ht="22.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row>
    <row r="984" ht="22.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row>
    <row r="985" ht="22.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row>
    <row r="986" ht="22.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row>
    <row r="987" ht="22.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row>
    <row r="988" ht="22.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row>
    <row r="989" ht="22.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row>
    <row r="990" ht="22.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row>
    <row r="991" ht="22.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row>
    <row r="992" ht="22.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row>
    <row r="993" ht="22.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row>
    <row r="994" ht="22.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row>
    <row r="995" ht="22.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row>
    <row r="996" ht="22.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29"/>
    </row>
    <row r="997" ht="22.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row>
    <row r="998" ht="22.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29"/>
    </row>
    <row r="999" ht="22.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row>
  </sheetData>
  <drawing r:id="rId1"/>
  <tableParts count="1">
    <tablePart r:id="rId3"/>
  </tableParts>
</worksheet>
</file>